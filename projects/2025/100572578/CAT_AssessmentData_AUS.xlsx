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3bb0d1ba6e01710a/3. Documents/1. UC3M/Semester 1/2. Data visualisation/datavis-Content/Assessment.base/Aus/"/>
    </mc:Choice>
  </mc:AlternateContent>
  <xr:revisionPtr revIDLastSave="0" documentId="13_ncr:1_{5A951F8B-8A4D-4175-9250-75F744CF50DA}" xr6:coauthVersionLast="47" xr6:coauthVersionMax="47" xr10:uidLastSave="{00000000-0000-0000-0000-000000000000}"/>
  <bookViews>
    <workbookView xWindow="10718" yWindow="0" windowWidth="10965" windowHeight="12863" tabRatio="848" activeTab="1" xr2:uid="{00000000-000D-0000-FFFF-FFFF00000000}"/>
  </bookViews>
  <sheets>
    <sheet name="Assessment" sheetId="42" r:id="rId1"/>
    <sheet name="EffortSharing" sheetId="43" r:id="rId2"/>
    <sheet name="ModelledPathways" sheetId="44" r:id="rId3"/>
  </sheets>
  <externalReferences>
    <externalReference r:id="rId4"/>
  </externalReferences>
  <definedNames>
    <definedName name="Assessment_Table">Assessment!$E$25:$BM$34</definedName>
    <definedName name="AssessmentData" localSheetId="0">Assessment!$C$25:$BM$34</definedName>
    <definedName name="Country" localSheetId="0">Assessment!$D$21</definedName>
    <definedName name="Country" localSheetId="1">EffortSharing!$D$19</definedName>
    <definedName name="Country" localSheetId="2">ModelledPathways!$D$19</definedName>
    <definedName name="Curpol_max">Assessment!$C$28</definedName>
    <definedName name="Curpol_min">Assessment!$C$27</definedName>
    <definedName name="Effort_Table">EffortSharing!$D$23:$F$27</definedName>
    <definedName name="EffortSharingData" localSheetId="1">EffortSharing!$C$23:$G$27</definedName>
    <definedName name="EffortSharingData" localSheetId="2">ModelledPathways!$C$23:$C$26</definedName>
    <definedName name="Hist_excl_LULUCF">Assessment!$C$25</definedName>
    <definedName name="Hist_LULUCF">Assessment!$C$26</definedName>
    <definedName name="LastUpdate" localSheetId="0">Assessment!$D$22</definedName>
    <definedName name="LastUpdate" localSheetId="1">EffortSharing!$D$20</definedName>
    <definedName name="LastUpdate" localSheetId="2">ModelledPathways!$D$20</definedName>
    <definedName name="List_Countries">[1]Admin!$D$9:$D$40</definedName>
    <definedName name="List_CountriesISO">[1]Admin!$E$9:$E$40</definedName>
    <definedName name="NDC_1">Assessment!$C$31</definedName>
    <definedName name="paste_location" localSheetId="0">Assessment!$C$21:$BM$34</definedName>
    <definedName name="paste_location" localSheetId="1">EffortSharing!$C$19:$G$26</definedName>
    <definedName name="paste_location" localSheetId="2">ModelledPathways!$C$19:$AM$26</definedName>
    <definedName name="Pathways_Table">ModelledPathways!$D$23:$AI$26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2" l="1"/>
</calcChain>
</file>

<file path=xl/sharedStrings.xml><?xml version="1.0" encoding="utf-8"?>
<sst xmlns="http://schemas.openxmlformats.org/spreadsheetml/2006/main" count="560" uniqueCount="36">
  <si>
    <t>Assessment data</t>
  </si>
  <si>
    <t xml:space="preserve">The CAT assesses countries’ mitigation commitments and policies against both what is needed to meet their fair share and what’s needed for full decarbonisation domestically. 
</t>
  </si>
  <si>
    <t>Countries policies and commitments are evaluated against two frameworks:</t>
  </si>
  <si>
    <t>Our “Effort Sharing” assessment methodology applies state-of-the art scientific literature on how to compare the fairness of government efforts and NDC proposals against the level and timing of emission reductions consistent with the Paris Agreement.</t>
  </si>
  <si>
    <t xml:space="preserve">To assess whether a country is on track for full decarbonisation domestically, we downscale global least-cost climate mitigation pathways to a national level. We name these “modelled domestic pathways”. </t>
  </si>
  <si>
    <t xml:space="preserve">For more details please visit the methodology section on our website: https://climateactiontracker.org/methodology/cat-rating-methodology/ </t>
  </si>
  <si>
    <t>Values in the table below are in MtCO2e/year and AR5 GWPs, excluding LULUCF.</t>
  </si>
  <si>
    <t xml:space="preserve">Copyright © 2025 Climate Action Tracker by NewClimate Institute and Climate Analytics. All rights reserved. The content provided by this website is protected by copyright. </t>
  </si>
  <si>
    <t>You are authorised to view, download, print and distribute the content from this website subject to the following condition: Any reproduction, in full or in part, must credit Climate Analytics and NewClimate Institute and must include a copyright notice.</t>
  </si>
  <si>
    <t>Country:</t>
  </si>
  <si>
    <t>Last updated:</t>
  </si>
  <si>
    <t>Graph label</t>
  </si>
  <si>
    <t>Sector/Type</t>
  </si>
  <si>
    <t>Historical emissions, excl forestry</t>
  </si>
  <si>
    <t>Total, excl LULUCF</t>
  </si>
  <si>
    <t>Historical emissions/removals from forestry</t>
  </si>
  <si>
    <t>LULUCF</t>
  </si>
  <si>
    <t>Policies and action</t>
  </si>
  <si>
    <t>Total, excl LULUCF, Min</t>
  </si>
  <si>
    <t>Total, excl LULUCF, Max</t>
  </si>
  <si>
    <t>Planned policies</t>
  </si>
  <si>
    <t>Unconditional</t>
  </si>
  <si>
    <t>Min</t>
  </si>
  <si>
    <t>Max</t>
  </si>
  <si>
    <t>Conditional</t>
  </si>
  <si>
    <t>Effort sharing data</t>
  </si>
  <si>
    <t>Values in the table below are in MtCO2e/year and AR5 GWPs, excluding LULUCF. There is no upper boundary for the 'Critically insufficient' category, so it is not included in the data below.</t>
  </si>
  <si>
    <t xml:space="preserve">Upper end of </t>
  </si>
  <si>
    <t>Almost sufficient</t>
  </si>
  <si>
    <t>Insufficient</t>
  </si>
  <si>
    <t>Highly insufficient</t>
  </si>
  <si>
    <t>Modelled domestic pathways</t>
  </si>
  <si>
    <t/>
  </si>
  <si>
    <t>-</t>
  </si>
  <si>
    <t>1.5°C Paris Agreement compatible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</si>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</sst>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mm/dd/yyyy\ hh:mm:ss"/>
    <numFmt numFmtId="166" formatCode="0.0"/>
    <numFmt numFmtId="167" formatCode="mmmm\ yyyy"/>
  </numFmts>
  <fonts count="36" x14ac:knownFonts="1">
    <font>
      <sz val="8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color indexed="54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8D2EA5"/>
      <name val="Arial"/>
      <family val="2"/>
    </font>
    <font>
      <sz val="8"/>
      <color rgb="FF0039A6"/>
      <name val="Arial"/>
      <family val="2"/>
    </font>
    <font>
      <sz val="8"/>
      <color rgb="FFA2A4A4"/>
      <name val="Arial"/>
      <family val="2"/>
    </font>
    <font>
      <sz val="7"/>
      <color rgb="FF8B8D8E"/>
      <name val="Arial"/>
      <family val="2"/>
    </font>
    <font>
      <sz val="8"/>
      <color rgb="FFBD0C30"/>
      <name val="Arial"/>
      <family val="2"/>
    </font>
    <font>
      <sz val="8"/>
      <color theme="4"/>
      <name val="Arial"/>
      <family val="2"/>
    </font>
    <font>
      <u/>
      <sz val="8"/>
      <color rgb="FF6688CA"/>
      <name val="Arial"/>
      <family val="2"/>
    </font>
    <font>
      <b/>
      <sz val="10"/>
      <color theme="6"/>
      <name val="Verdana"/>
      <family val="2"/>
    </font>
    <font>
      <b/>
      <sz val="9"/>
      <color theme="6"/>
      <name val="Verdana"/>
      <family val="2"/>
    </font>
    <font>
      <b/>
      <sz val="9"/>
      <color rgb="FF6688CA"/>
      <name val="Verdana"/>
      <family val="2"/>
    </font>
    <font>
      <u/>
      <sz val="8"/>
      <color theme="4"/>
      <name val="Arial"/>
      <family val="2"/>
    </font>
    <font>
      <sz val="8"/>
      <color rgb="FF3F3F3F"/>
      <name val="Arial"/>
      <family val="2"/>
    </font>
    <font>
      <b/>
      <sz val="16"/>
      <color theme="6"/>
      <name val="Verdana"/>
      <family val="2"/>
    </font>
    <font>
      <b/>
      <sz val="8"/>
      <color theme="1"/>
      <name val="Verdana"/>
      <family val="2"/>
    </font>
    <font>
      <sz val="8"/>
      <color theme="7"/>
      <name val="Arial"/>
      <family val="2"/>
    </font>
    <font>
      <sz val="8"/>
      <color rgb="FF2970FF"/>
      <name val="Arial"/>
      <family val="2"/>
    </font>
    <font>
      <b/>
      <sz val="9"/>
      <color theme="0"/>
      <name val="Ubuntu Light"/>
      <family val="2"/>
    </font>
    <font>
      <sz val="8"/>
      <name val="Ubuntu Light"/>
      <family val="2"/>
    </font>
    <font>
      <sz val="9"/>
      <name val="Ubuntu Light"/>
      <family val="2"/>
    </font>
    <font>
      <b/>
      <sz val="9"/>
      <color rgb="FF94362A"/>
      <name val="Ubuntu Light"/>
      <family val="2"/>
    </font>
    <font>
      <sz val="9"/>
      <color rgb="FF94362A"/>
      <name val="Ubuntu Light"/>
      <family val="2"/>
    </font>
    <font>
      <b/>
      <sz val="11"/>
      <color rgb="FF11A3D3"/>
      <name val="Verdana"/>
      <family val="2"/>
    </font>
    <font>
      <b/>
      <sz val="11"/>
      <color rgb="FF127DA4"/>
      <name val="Verdana"/>
      <family val="2"/>
    </font>
    <font>
      <b/>
      <sz val="9"/>
      <color rgb="FF87AAC4"/>
      <name val="Verdana"/>
      <family val="2"/>
    </font>
    <font>
      <b/>
      <sz val="10"/>
      <color rgb="FF5B91B3"/>
      <name val="Verdana"/>
      <family val="2"/>
    </font>
    <font>
      <sz val="10"/>
      <name val="Times New Roman"/>
      <family val="1"/>
    </font>
    <font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99B0DB"/>
        <bgColor indexed="64"/>
      </patternFill>
    </fill>
    <fill>
      <patternFill patternType="solid">
        <fgColor rgb="FFCAE399"/>
        <bgColor indexed="64"/>
      </patternFill>
    </fill>
    <fill>
      <patternFill patternType="solid">
        <fgColor rgb="FFD1D1D2"/>
        <bgColor indexed="64"/>
      </patternFill>
    </fill>
    <fill>
      <patternFill patternType="solid">
        <fgColor rgb="FFE89EAC"/>
        <bgColor indexed="64"/>
      </patternFill>
    </fill>
    <fill>
      <patternFill patternType="solid">
        <fgColor rgb="FFFFC699"/>
        <bgColor indexed="64"/>
      </patternFill>
    </fill>
    <fill>
      <patternFill patternType="solid">
        <fgColor rgb="FFF7DD99"/>
        <bgColor indexed="64"/>
      </patternFill>
    </fill>
    <fill>
      <patternFill patternType="solid">
        <fgColor rgb="FF6688CA"/>
        <bgColor indexed="64"/>
      </patternFill>
    </fill>
    <fill>
      <patternFill patternType="solid">
        <fgColor rgb="FFAFD466"/>
        <bgColor indexed="64"/>
      </patternFill>
    </fill>
    <fill>
      <patternFill patternType="solid">
        <fgColor rgb="FFB9BBBB"/>
        <bgColor indexed="64"/>
      </patternFill>
    </fill>
    <fill>
      <patternFill patternType="solid">
        <fgColor rgb="FFDD6D83"/>
        <bgColor indexed="64"/>
      </patternFill>
    </fill>
    <fill>
      <patternFill patternType="solid">
        <fgColor rgb="FFFFA966"/>
        <bgColor indexed="64"/>
      </patternFill>
    </fill>
    <fill>
      <patternFill patternType="solid">
        <fgColor rgb="FFF3CD66"/>
        <bgColor indexed="64"/>
      </patternFill>
    </fill>
    <fill>
      <patternFill patternType="solid">
        <fgColor rgb="FF3361B8"/>
        <bgColor indexed="64"/>
      </patternFill>
    </fill>
    <fill>
      <patternFill patternType="solid">
        <fgColor rgb="FF95C633"/>
        <bgColor rgb="FF95C633"/>
      </patternFill>
    </fill>
    <fill>
      <patternFill patternType="solid">
        <fgColor rgb="FFA2A4A4"/>
        <bgColor indexed="64"/>
      </patternFill>
    </fill>
    <fill>
      <patternFill patternType="solid">
        <fgColor rgb="FFD13D5A"/>
        <bgColor indexed="64"/>
      </patternFill>
    </fill>
    <fill>
      <patternFill patternType="solid">
        <fgColor rgb="FFFF8D33"/>
        <bgColor indexed="64"/>
      </patternFill>
    </fill>
    <fill>
      <patternFill patternType="solid">
        <fgColor rgb="FFEEBC3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2CC"/>
        <bgColor rgb="FFFFE2CC"/>
      </patternFill>
    </fill>
    <fill>
      <patternFill patternType="solid">
        <fgColor rgb="FFCCD7ED"/>
        <bgColor indexed="64"/>
      </patternFill>
    </fill>
    <fill>
      <patternFill patternType="solid">
        <fgColor rgb="FFE3D5ED"/>
        <bgColor indexed="64"/>
      </patternFill>
    </fill>
    <fill>
      <patternFill patternType="solid">
        <fgColor rgb="FFCAE399"/>
        <bgColor rgb="FFE4F1CC"/>
      </patternFill>
    </fill>
    <fill>
      <patternFill patternType="solid">
        <fgColor rgb="FFE8E8E8"/>
        <bgColor indexed="64"/>
      </patternFill>
    </fill>
    <fill>
      <patternFill patternType="solid">
        <fgColor rgb="FFFFEB9C"/>
        <bgColor indexed="48"/>
      </patternFill>
    </fill>
    <fill>
      <patternFill patternType="solid">
        <fgColor rgb="FFE4F1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DFCE4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94362A"/>
        <bgColor indexed="64"/>
      </patternFill>
    </fill>
    <fill>
      <patternFill patternType="solid">
        <fgColor rgb="FFA6605E"/>
        <bgColor indexed="64"/>
      </patternFill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hair">
        <color indexed="13"/>
      </left>
      <right style="hair">
        <color indexed="13"/>
      </right>
      <top style="hair">
        <color indexed="13"/>
      </top>
      <bottom style="hair">
        <color indexed="13"/>
      </bottom>
      <diagonal/>
    </border>
    <border>
      <left style="hair">
        <color indexed="43"/>
      </left>
      <right style="hair">
        <color indexed="43"/>
      </right>
      <top style="hair">
        <color indexed="43"/>
      </top>
      <bottom style="thin">
        <color indexed="34"/>
      </bottom>
      <diagonal/>
    </border>
    <border>
      <left style="dotted">
        <color rgb="FFE8E8E8"/>
      </left>
      <right style="dotted">
        <color rgb="FFE8E8E8"/>
      </right>
      <top style="dotted">
        <color rgb="FFE8E8E8"/>
      </top>
      <bottom style="dotted">
        <color rgb="FFE8E8E8"/>
      </bottom>
      <diagonal/>
    </border>
    <border>
      <left/>
      <right/>
      <top/>
      <bottom style="thin">
        <color theme="6"/>
      </bottom>
      <diagonal/>
    </border>
    <border>
      <left style="dotted">
        <color theme="5"/>
      </left>
      <right style="dotted">
        <color theme="5"/>
      </right>
      <top style="thin">
        <color theme="5"/>
      </top>
      <bottom style="medium">
        <color theme="5"/>
      </bottom>
      <diagonal/>
    </border>
    <border>
      <left/>
      <right/>
      <top/>
      <bottom style="thin">
        <color theme="2"/>
      </bottom>
      <diagonal/>
    </border>
    <border>
      <left style="hair">
        <color rgb="FFB9BBBB"/>
      </left>
      <right style="hair">
        <color rgb="FFB9BBBB"/>
      </right>
      <top style="hair">
        <color rgb="FFB9BBBB"/>
      </top>
      <bottom style="hair">
        <color rgb="FFB9BBB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rgb="FF127DA4"/>
      </bottom>
      <diagonal/>
    </border>
    <border>
      <left/>
      <right/>
      <top/>
      <bottom style="medium">
        <color rgb="FF11A3D3"/>
      </bottom>
      <diagonal/>
    </border>
    <border>
      <left/>
      <right/>
      <top/>
      <bottom style="thin">
        <color rgb="FF90C5E4"/>
      </bottom>
      <diagonal/>
    </border>
    <border>
      <left/>
      <right/>
      <top/>
      <bottom style="thin">
        <color rgb="FF6183DB"/>
      </bottom>
      <diagonal/>
    </border>
  </borders>
  <cellStyleXfs count="85">
    <xf numFmtId="0" fontId="0" fillId="0" borderId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6" fillId="19" borderId="0" applyNumberFormat="0" applyBorder="0" applyAlignment="0" applyProtection="0"/>
    <xf numFmtId="0" fontId="2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3" applyNumberFormat="0" applyAlignment="0" applyProtection="0"/>
    <xf numFmtId="0" fontId="7" fillId="33" borderId="0" applyNumberFormat="0" applyAlignment="0" applyProtection="0"/>
    <xf numFmtId="0" fontId="1" fillId="2" borderId="1" applyNumberFormat="0" applyFont="0" applyAlignment="0"/>
    <xf numFmtId="0" fontId="4" fillId="0" borderId="0" applyNumberFormat="0" applyFill="0" applyBorder="0" applyAlignment="0"/>
    <xf numFmtId="0" fontId="8" fillId="0" borderId="0" applyNumberFormat="0" applyFill="0" applyBorder="0" applyAlignment="0"/>
    <xf numFmtId="0" fontId="1" fillId="4" borderId="1" applyNumberFormat="0" applyFont="0" applyAlignment="0"/>
    <xf numFmtId="3" fontId="1" fillId="5" borderId="1" applyNumberFormat="0" applyFont="0" applyAlignment="0">
      <protection locked="0"/>
    </xf>
    <xf numFmtId="1" fontId="1" fillId="0" borderId="1" applyNumberFormat="0" applyFont="0" applyAlignment="0">
      <protection locked="0"/>
    </xf>
    <xf numFmtId="0" fontId="9" fillId="0" borderId="0" applyNumberFormat="0" applyFill="0" applyBorder="0">
      <alignment horizontal="right"/>
    </xf>
    <xf numFmtId="0" fontId="29" fillId="0" borderId="10" applyNumberFormat="0" applyFill="0" applyAlignment="0"/>
    <xf numFmtId="0" fontId="31" fillId="0" borderId="12" applyNumberFormat="0" applyFill="0" applyAlignment="0"/>
    <xf numFmtId="0" fontId="30" fillId="0" borderId="11" applyNumberFormat="0" applyFill="0" applyAlignment="0"/>
    <xf numFmtId="0" fontId="10" fillId="0" borderId="0" applyNumberFormat="0" applyFill="0" applyBorder="0" applyAlignment="0"/>
    <xf numFmtId="0" fontId="3" fillId="0" borderId="2" applyNumberFormat="0">
      <alignment wrapText="1"/>
    </xf>
    <xf numFmtId="0" fontId="11" fillId="6" borderId="0" applyNumberFormat="0" applyBorder="0" applyAlignment="0">
      <protection locked="0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5" fillId="34" borderId="0" applyNumberFormat="0" applyBorder="0" applyAlignment="0" applyProtection="0"/>
    <xf numFmtId="0" fontId="28" fillId="0" borderId="9" applyNumberFormat="0" applyFill="0" applyAlignment="0" applyProtection="0"/>
    <xf numFmtId="0" fontId="14" fillId="0" borderId="6" applyNumberFormat="0" applyFill="0" applyAlignment="0" applyProtection="0"/>
    <xf numFmtId="0" fontId="15" fillId="0" borderId="4" applyNumberFormat="0" applyFill="0" applyAlignment="0" applyProtection="0"/>
    <xf numFmtId="0" fontId="16" fillId="0" borderId="0" applyNumberFormat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" fillId="3" borderId="0" applyNumberFormat="0" applyAlignment="0" applyProtection="0"/>
    <xf numFmtId="0" fontId="2" fillId="35" borderId="0" applyNumberFormat="0" applyAlignment="0" applyProtection="0"/>
    <xf numFmtId="0" fontId="5" fillId="36" borderId="0" applyNumberFormat="0" applyBorder="0" applyAlignment="0" applyProtection="0"/>
    <xf numFmtId="0" fontId="12" fillId="0" borderId="0" applyNumberFormat="0" applyAlignment="0" applyProtection="0"/>
    <xf numFmtId="0" fontId="18" fillId="37" borderId="0" applyNumberFormat="0" applyAlignment="0" applyProtection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38" borderId="0" applyNumberFormat="0" applyBorder="0" applyAlignment="0" applyProtection="0"/>
    <xf numFmtId="3" fontId="1" fillId="3" borderId="1" applyNumberFormat="0" applyFont="0" applyAlignment="0">
      <protection locked="0"/>
    </xf>
    <xf numFmtId="49" fontId="1" fillId="40" borderId="1" applyFont="0" applyAlignment="0">
      <protection locked="0"/>
    </xf>
    <xf numFmtId="3" fontId="1" fillId="39" borderId="1" applyNumberFormat="0" applyAlignment="0">
      <protection locked="0"/>
    </xf>
    <xf numFmtId="0" fontId="22" fillId="40" borderId="1" applyNumberFormat="0" applyAlignment="0">
      <protection locked="0"/>
    </xf>
    <xf numFmtId="1" fontId="3" fillId="0" borderId="1" applyAlignment="0">
      <protection locked="0"/>
    </xf>
    <xf numFmtId="0" fontId="23" fillId="43" borderId="7" applyNumberFormat="0"/>
    <xf numFmtId="0" fontId="26" fillId="41" borderId="7" applyNumberFormat="0"/>
    <xf numFmtId="0" fontId="25" fillId="0" borderId="7"/>
    <xf numFmtId="0" fontId="23" fillId="42" borderId="8">
      <alignment vertical="center" wrapText="1"/>
    </xf>
    <xf numFmtId="0" fontId="27" fillId="0" borderId="7" applyNumberFormat="0"/>
    <xf numFmtId="0" fontId="24" fillId="0" borderId="7" applyNumberFormat="0"/>
    <xf numFmtId="0" fontId="33" fillId="44" borderId="0">
      <alignment wrapText="1"/>
    </xf>
    <xf numFmtId="0" fontId="33" fillId="0" borderId="0">
      <alignment wrapText="1"/>
    </xf>
    <xf numFmtId="0" fontId="33" fillId="0" borderId="0">
      <alignment wrapText="1"/>
    </xf>
    <xf numFmtId="0" fontId="33" fillId="0" borderId="0">
      <alignment wrapText="1"/>
    </xf>
    <xf numFmtId="165" fontId="33" fillId="0" borderId="0">
      <alignment wrapText="1"/>
    </xf>
    <xf numFmtId="0" fontId="1" fillId="0" borderId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3" applyNumberFormat="0" applyAlignment="0" applyProtection="0"/>
    <xf numFmtId="0" fontId="1" fillId="3" borderId="0" applyNumberFormat="0" applyAlignment="0" applyProtection="0"/>
    <xf numFmtId="0" fontId="1" fillId="35" borderId="0" applyNumberFormat="0" applyAlignment="0" applyProtection="0"/>
    <xf numFmtId="0" fontId="1" fillId="44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5" fontId="1" fillId="0" borderId="0">
      <alignment wrapText="1"/>
    </xf>
    <xf numFmtId="164" fontId="34" fillId="0" borderId="0" applyFont="0" applyFill="0" applyBorder="0" applyAlignment="0" applyProtection="0"/>
  </cellStyleXfs>
  <cellXfs count="20">
    <xf numFmtId="0" fontId="0" fillId="0" borderId="0" xfId="0"/>
    <xf numFmtId="0" fontId="29" fillId="0" borderId="10" xfId="35"/>
    <xf numFmtId="0" fontId="1" fillId="0" borderId="0" xfId="0" applyFont="1"/>
    <xf numFmtId="0" fontId="1" fillId="0" borderId="0" xfId="0" applyFont="1" applyAlignment="1">
      <alignment vertical="center"/>
    </xf>
    <xf numFmtId="0" fontId="32" fillId="0" borderId="0" xfId="0" applyFont="1"/>
    <xf numFmtId="0" fontId="3" fillId="0" borderId="0" xfId="0" applyFont="1" applyAlignment="1">
      <alignment vertical="center"/>
    </xf>
    <xf numFmtId="0" fontId="17" fillId="0" borderId="0" xfId="48" applyAlignment="1" applyProtection="1"/>
    <xf numFmtId="0" fontId="3" fillId="0" borderId="0" xfId="73" applyFont="1" applyAlignment="1">
      <alignment vertical="center"/>
    </xf>
    <xf numFmtId="0" fontId="23" fillId="42" borderId="8" xfId="65">
      <alignment vertical="center" wrapText="1"/>
    </xf>
    <xf numFmtId="0" fontId="1" fillId="0" borderId="1" xfId="33" applyNumberFormat="1" applyFont="1">
      <protection locked="0"/>
    </xf>
    <xf numFmtId="49" fontId="3" fillId="0" borderId="2" xfId="39" applyNumberFormat="1" applyAlignment="1">
      <alignment horizontal="left" wrapText="1"/>
    </xf>
    <xf numFmtId="0" fontId="1" fillId="0" borderId="0" xfId="0" applyFont="1" applyAlignment="1">
      <alignment horizontal="left" vertical="center"/>
    </xf>
    <xf numFmtId="0" fontId="9" fillId="0" borderId="0" xfId="34">
      <alignment horizontal="right"/>
    </xf>
    <xf numFmtId="0" fontId="9" fillId="0" borderId="0" xfId="34" applyFill="1" applyBorder="1">
      <alignment horizontal="right"/>
    </xf>
    <xf numFmtId="14" fontId="0" fillId="0" borderId="0" xfId="0" applyNumberFormat="1"/>
    <xf numFmtId="2" fontId="1" fillId="0" borderId="1" xfId="84" applyNumberFormat="1" applyFont="1" applyBorder="1" applyAlignment="1" applyProtection="1">
      <alignment horizontal="right"/>
      <protection locked="0"/>
    </xf>
    <xf numFmtId="166" fontId="1" fillId="0" borderId="1" xfId="33" applyNumberFormat="1" applyFont="1">
      <protection locked="0"/>
    </xf>
    <xf numFmtId="167" fontId="3" fillId="0" borderId="2" xfId="39" applyNumberFormat="1" applyAlignment="1">
      <alignment horizontal="left" wrapText="1"/>
    </xf>
    <xf numFmtId="1" fontId="1" fillId="0" borderId="1" xfId="33" applyNumberFormat="1" applyFont="1" applyAlignment="1">
      <alignment horizontal="right"/>
      <protection locked="0"/>
    </xf>
    <xf numFmtId="0" fontId="35" fillId="0" borderId="1" xfId="33" applyNumberFormat="1" applyFont="1">
      <protection locked="0"/>
    </xf>
  </cellXfs>
  <cellStyles count="8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2 2" xfId="74" xr:uid="{00000000-0005-0000-0000-00000E000000}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75" xr:uid="{00000000-0005-0000-0000-00001A000000}"/>
    <cellStyle name="Calc_CAT1" xfId="28" xr:uid="{00000000-0005-0000-0000-00001B000000}"/>
    <cellStyle name="Calculation" xfId="26" builtinId="22" customBuiltin="1"/>
    <cellStyle name="Calculation 2" xfId="76" xr:uid="{00000000-0005-0000-0000-00001D000000}"/>
    <cellStyle name="Check" xfId="29" xr:uid="{00000000-0005-0000-0000-00001E000000}"/>
    <cellStyle name="Check Cell" xfId="27" builtinId="23" customBuiltin="1"/>
    <cellStyle name="Comma" xfId="84" builtinId="3"/>
    <cellStyle name="CommentTool" xfId="30" xr:uid="{00000000-0005-0000-0000-000021000000}"/>
    <cellStyle name="CommentUser" xfId="60" xr:uid="{00000000-0005-0000-0000-000022000000}"/>
    <cellStyle name="CommentWarning" xfId="40" xr:uid="{00000000-0005-0000-0000-000023000000}"/>
    <cellStyle name="Explanatory Text" xfId="41" builtinId="53" customBuiltin="1"/>
    <cellStyle name="FirstColumn" xfId="61" xr:uid="{00000000-0005-0000-0000-000025000000}"/>
    <cellStyle name="Followed Hyperlink" xfId="42" builtinId="9" customBuiltin="1"/>
    <cellStyle name="Good" xfId="43" builtinId="26" customBuiltin="1"/>
    <cellStyle name="Heading 1" xfId="44" builtinId="16" customBuiltin="1"/>
    <cellStyle name="Heading 2" xfId="45" builtinId="17" customBuiltin="1"/>
    <cellStyle name="Heading 3" xfId="46" builtinId="18" customBuiltin="1"/>
    <cellStyle name="Heading 4" xfId="47" builtinId="19" hidden="1" customBuiltin="1"/>
    <cellStyle name="Hyperlink" xfId="48" builtinId="8" customBuiltin="1"/>
    <cellStyle name="Input" xfId="49" builtinId="20" customBuiltin="1"/>
    <cellStyle name="Input 2" xfId="77" xr:uid="{00000000-0005-0000-0000-00002E000000}"/>
    <cellStyle name="InputData" xfId="57" xr:uid="{00000000-0005-0000-0000-00002F000000}"/>
    <cellStyle name="InputFixed" xfId="31" xr:uid="{00000000-0005-0000-0000-000030000000}"/>
    <cellStyle name="InputList" xfId="32" xr:uid="{00000000-0005-0000-0000-000031000000}"/>
    <cellStyle name="InputSpecific" xfId="59" xr:uid="{00000000-0005-0000-0000-000032000000}"/>
    <cellStyle name="InputText" xfId="58" xr:uid="{00000000-0005-0000-0000-000033000000}"/>
    <cellStyle name="InputWhite" xfId="33" xr:uid="{00000000-0005-0000-0000-000034000000}"/>
    <cellStyle name="Linked Cell" xfId="50" builtinId="24" customBuiltin="1"/>
    <cellStyle name="Linked Cell 2" xfId="78" xr:uid="{00000000-0005-0000-0000-000036000000}"/>
    <cellStyle name="Neutral" xfId="51" builtinId="28" customBuiltin="1"/>
    <cellStyle name="Normal" xfId="0" builtinId="0"/>
    <cellStyle name="Normal 2" xfId="73" xr:uid="{00000000-0005-0000-0000-000039000000}"/>
    <cellStyle name="Note" xfId="52" builtinId="10" customBuiltin="1"/>
    <cellStyle name="Output" xfId="53" builtinId="21" customBuiltin="1"/>
    <cellStyle name="RangeName" xfId="34" xr:uid="{00000000-0005-0000-0000-00003C000000}"/>
    <cellStyle name="Source" xfId="38" xr:uid="{00000000-0005-0000-0000-00003D000000}"/>
    <cellStyle name="TableCell1" xfId="66" xr:uid="{00000000-0005-0000-0000-00003E000000}"/>
    <cellStyle name="TableCell2" xfId="64" xr:uid="{00000000-0005-0000-0000-00003F000000}"/>
    <cellStyle name="TableCell3" xfId="67" xr:uid="{00000000-0005-0000-0000-000040000000}"/>
    <cellStyle name="TableHeader" xfId="39" xr:uid="{00000000-0005-0000-0000-000041000000}"/>
    <cellStyle name="TableHeader1" xfId="65" xr:uid="{00000000-0005-0000-0000-000042000000}"/>
    <cellStyle name="TableHeader2" xfId="62" xr:uid="{00000000-0005-0000-0000-000043000000}"/>
    <cellStyle name="TableHeader3" xfId="63" xr:uid="{00000000-0005-0000-0000-000044000000}"/>
    <cellStyle name="Title" xfId="54" builtinId="15" hidden="1" customBuiltin="1"/>
    <cellStyle name="Title1" xfId="35" xr:uid="{00000000-0005-0000-0000-000046000000}"/>
    <cellStyle name="Title2" xfId="36" xr:uid="{00000000-0005-0000-0000-000047000000}"/>
    <cellStyle name="Title3" xfId="37" xr:uid="{00000000-0005-0000-0000-000048000000}"/>
    <cellStyle name="Total" xfId="55" builtinId="25" hidden="1" customBuiltin="1"/>
    <cellStyle name="Warning Text" xfId="56" builtinId="11" customBuiltin="1"/>
    <cellStyle name="XLConnect.Boolean" xfId="71" xr:uid="{00000000-0005-0000-0000-00004B000000}"/>
    <cellStyle name="XLConnect.Boolean 2" xfId="82" xr:uid="{00000000-0005-0000-0000-00004C000000}"/>
    <cellStyle name="XLConnect.DateTime" xfId="72" xr:uid="{00000000-0005-0000-0000-00004D000000}"/>
    <cellStyle name="XLConnect.DateTime 2" xfId="83" xr:uid="{00000000-0005-0000-0000-00004E000000}"/>
    <cellStyle name="XLConnect.Header" xfId="68" xr:uid="{00000000-0005-0000-0000-00004F000000}"/>
    <cellStyle name="XLConnect.Header 2" xfId="79" xr:uid="{00000000-0005-0000-0000-000050000000}"/>
    <cellStyle name="XLConnect.Numeric" xfId="70" xr:uid="{00000000-0005-0000-0000-000051000000}"/>
    <cellStyle name="XLConnect.Numeric 2" xfId="81" xr:uid="{00000000-0005-0000-0000-000052000000}"/>
    <cellStyle name="XLConnect.String" xfId="69" xr:uid="{00000000-0005-0000-0000-000053000000}"/>
    <cellStyle name="XLConnect.String 2" xfId="80" xr:uid="{00000000-0005-0000-0000-000054000000}"/>
  </cellStyles>
  <dxfs count="3">
    <dxf>
      <numFmt numFmtId="168" formatCode="#,###.0"/>
    </dxf>
    <dxf>
      <numFmt numFmtId="168" formatCode="#,###.0"/>
    </dxf>
    <dxf>
      <numFmt numFmtId="168" formatCode="#,###.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B9C0"/>
      <rgbColor rgb="00CCD7ED"/>
      <rgbColor rgb="00E89EAC"/>
      <rgbColor rgb="00A7A2C7"/>
      <rgbColor rgb="00D1D1D2"/>
      <rgbColor rgb="0099B0DB"/>
      <rgbColor rgb="00FFC699"/>
      <rgbColor rgb="00FFFFFF"/>
      <rgbColor rgb="00E3D5ED"/>
      <rgbColor rgb="00F2F299"/>
      <rgbColor rgb="00C7ABDB"/>
      <rgbColor rgb="00CCE4DB"/>
      <rgbColor rgb="00D3D1E3"/>
      <rgbColor rgb="0099D1D5"/>
      <rgbColor rgb="00241773"/>
      <rgbColor rgb="003361B8"/>
      <rgbColor rgb="0095C633"/>
      <rgbColor rgb="00A2A4A4"/>
      <rgbColor rgb="00D13D5A"/>
      <rgbColor rgb="00FF8D33"/>
      <rgbColor rgb="00EEBC33"/>
      <rgbColor rgb="00339571"/>
      <rgbColor rgb="0033A2AA"/>
      <rgbColor rgb="000039A6"/>
      <rgbColor rgb="007AB800"/>
      <rgbColor rgb="008B8D8E"/>
      <rgbColor rgb="00BD0C30"/>
      <rgbColor rgb="00FF7000"/>
      <rgbColor rgb="00EAAB00"/>
      <rgbColor rgb="00007A4D"/>
      <rgbColor rgb="00008B95"/>
      <rgbColor rgb="00F7DD99"/>
      <rgbColor rgb="00FFA966"/>
      <rgbColor rgb="00DD6D83"/>
      <rgbColor rgb="00B9BBBB"/>
      <rgbColor rgb="00F3CD66"/>
      <rgbColor rgb="006688CA"/>
      <rgbColor rgb="0066AF94"/>
      <rgbColor rgb="00AFD466"/>
      <rgbColor rgb="00FBEECC"/>
      <rgbColor rgb="00FFE2CC"/>
      <rgbColor rgb="00E8E8E8"/>
      <rgbColor rgb="00CAE399"/>
      <rgbColor rgb="00E4F1CC"/>
      <rgbColor rgb="00722EA5"/>
      <rgbColor rgb="007C74AB"/>
      <rgbColor rgb="00CCE8EA"/>
      <rgbColor rgb="00F9F9CC"/>
      <rgbColor rgb="00F4CED6"/>
      <rgbColor rgb="00F4CCE7"/>
      <rgbColor rgb="00DC66B5"/>
      <rgbColor rgb="00C50084"/>
      <rgbColor rgb="0099CAB8"/>
      <rgbColor rgb="00ECEC66"/>
      <rgbColor rgb="00DFDF00"/>
    </indexedColors>
    <mruColors>
      <color rgb="FF5A788A"/>
      <color rgb="FF127DA4"/>
      <color rgb="FF11A3D3"/>
      <color rgb="FF94362A"/>
      <color rgb="FF9E3A38"/>
      <color rgb="FFA6605E"/>
      <color rgb="FFF1F1F1"/>
      <color rgb="FF943634"/>
      <color rgb="FFCCD7ED"/>
      <color rgb="FFB9B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133352</xdr:rowOff>
    </xdr:from>
    <xdr:to>
      <xdr:col>2</xdr:col>
      <xdr:colOff>1374</xdr:colOff>
      <xdr:row>4</xdr:row>
      <xdr:rowOff>116417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B02E00-A56C-485E-A6E0-9A7F860CBF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910" b="24078"/>
        <a:stretch/>
      </xdr:blipFill>
      <xdr:spPr>
        <a:xfrm>
          <a:off x="57151" y="276227"/>
          <a:ext cx="851003" cy="4593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133352</xdr:rowOff>
    </xdr:from>
    <xdr:to>
      <xdr:col>2</xdr:col>
      <xdr:colOff>1374</xdr:colOff>
      <xdr:row>4</xdr:row>
      <xdr:rowOff>116417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76B66-129A-4AA8-9AE9-35A72A6AE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910" b="24078"/>
        <a:stretch/>
      </xdr:blipFill>
      <xdr:spPr>
        <a:xfrm>
          <a:off x="57151" y="276227"/>
          <a:ext cx="851003" cy="4593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133352</xdr:rowOff>
    </xdr:from>
    <xdr:to>
      <xdr:col>2</xdr:col>
      <xdr:colOff>1374</xdr:colOff>
      <xdr:row>4</xdr:row>
      <xdr:rowOff>78317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6608E1-1450-4BCB-A704-3983CE3B9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910" b="24078"/>
        <a:stretch/>
      </xdr:blipFill>
      <xdr:spPr>
        <a:xfrm>
          <a:off x="53341" y="262892"/>
          <a:ext cx="824333" cy="434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wclimate-my.sharepoint.com/Users/ymonschauer/AppData/Local/Box/Box%20Edit/Documents/HtdYOCZNg0mBeozVIHB1IQ==/CAT_GraphUpload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Process"/>
      <sheetName val="Input_Tool"/>
      <sheetName val="Input_EffortSharing"/>
      <sheetName val="Mapping"/>
      <sheetName val="Table_NotRounded"/>
      <sheetName val="Output_ForGraphUpload"/>
      <sheetName val="Output_ForAsssementData"/>
      <sheetName val="Output_ForESData"/>
      <sheetName val="Admin"/>
      <sheetName val="Sty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Ecofys">
      <a:dk1>
        <a:sysClr val="windowText" lastClr="000000"/>
      </a:dk1>
      <a:lt1>
        <a:sysClr val="window" lastClr="FFFFFF"/>
      </a:lt1>
      <a:dk2>
        <a:srgbClr val="0039A6"/>
      </a:dk2>
      <a:lt2>
        <a:srgbClr val="7AB800"/>
      </a:lt2>
      <a:accent1>
        <a:srgbClr val="0039A6"/>
      </a:accent1>
      <a:accent2>
        <a:srgbClr val="7AB800"/>
      </a:accent2>
      <a:accent3>
        <a:srgbClr val="8B8D8E"/>
      </a:accent3>
      <a:accent4>
        <a:srgbClr val="C60C30"/>
      </a:accent4>
      <a:accent5>
        <a:srgbClr val="FF7000"/>
      </a:accent5>
      <a:accent6>
        <a:srgbClr val="EAAB00"/>
      </a:accent6>
      <a:hlink>
        <a:srgbClr val="0039A6"/>
      </a:hlink>
      <a:folHlink>
        <a:srgbClr val="6688C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BM34"/>
  <sheetViews>
    <sheetView showGridLines="0" topLeftCell="B6" zoomScaleNormal="100" workbookViewId="0">
      <selection activeCell="C36" sqref="C36"/>
    </sheetView>
  </sheetViews>
  <sheetFormatPr defaultRowHeight="10.15" x14ac:dyDescent="0.3"/>
  <cols>
    <col min="1" max="2" width="8.33203125" customWidth="1"/>
    <col min="3" max="3" width="38.6640625" customWidth="1"/>
    <col min="4" max="4" width="22" customWidth="1"/>
    <col min="5" max="6" width="8.6640625" customWidth="1"/>
    <col min="24" max="24" width="10.08203125" bestFit="1" customWidth="1"/>
  </cols>
  <sheetData>
    <row r="3" spans="3:65" ht="13.9" thickBot="1" x14ac:dyDescent="0.4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5" spans="3:65" x14ac:dyDescent="0.3">
      <c r="C5" s="11" t="s">
        <v>1</v>
      </c>
    </row>
    <row r="6" spans="3:65" x14ac:dyDescent="0.3">
      <c r="C6" s="11"/>
    </row>
    <row r="7" spans="3:65" x14ac:dyDescent="0.3">
      <c r="C7" s="11" t="s">
        <v>2</v>
      </c>
      <c r="X7" s="14"/>
    </row>
    <row r="8" spans="3:65" x14ac:dyDescent="0.3">
      <c r="C8" s="11" t="s">
        <v>3</v>
      </c>
    </row>
    <row r="9" spans="3:65" x14ac:dyDescent="0.3">
      <c r="C9" s="11" t="s">
        <v>4</v>
      </c>
    </row>
    <row r="11" spans="3:65" x14ac:dyDescent="0.3">
      <c r="C11" s="3" t="s">
        <v>5</v>
      </c>
      <c r="D11" s="6"/>
    </row>
    <row r="12" spans="3:65" ht="13.15" x14ac:dyDescent="0.4">
      <c r="C12" s="4"/>
    </row>
    <row r="13" spans="3:65" x14ac:dyDescent="0.3">
      <c r="C13" s="7" t="s">
        <v>6</v>
      </c>
    </row>
    <row r="14" spans="3:65" x14ac:dyDescent="0.3">
      <c r="C14" s="5"/>
    </row>
    <row r="15" spans="3:65" x14ac:dyDescent="0.3">
      <c r="C15" s="2" t="str">
        <f>_xlfn.CONCAT("Please reference as: 'Climate Action Tracker, Country Assessments | ",TEXT(LastUpdate, "mmmm yyyy")," - http://climateactiontracker.org'")</f>
        <v>Please reference as: 'Climate Action Tracker, Country Assessments | June 2025 - http://climateactiontracker.org'</v>
      </c>
    </row>
    <row r="17" spans="2:65" x14ac:dyDescent="0.3">
      <c r="C17" s="3" t="s">
        <v>7</v>
      </c>
    </row>
    <row r="18" spans="2:65" x14ac:dyDescent="0.3">
      <c r="C18" t="s">
        <v>8</v>
      </c>
    </row>
    <row r="20" spans="2:65" x14ac:dyDescent="0.3">
      <c r="C20" s="12"/>
    </row>
    <row r="21" spans="2:65" x14ac:dyDescent="0.3">
      <c r="C21" s="2" t="s">
        <v>9</v>
      </c>
      <c r="D21" s="10" t="s">
        <v>35</v>
      </c>
    </row>
    <row r="22" spans="2:65" x14ac:dyDescent="0.3">
      <c r="C22" s="2" t="s">
        <v>10</v>
      </c>
      <c r="D22" s="17">
        <v>45809</v>
      </c>
    </row>
    <row r="24" spans="2:65" ht="22.05" customHeight="1" x14ac:dyDescent="0.3">
      <c r="B24" s="12"/>
      <c r="C24" s="8" t="s">
        <v>11</v>
      </c>
      <c r="D24" s="8" t="s">
        <v>12</v>
      </c>
      <c r="E24" s="8">
        <v>1990</v>
      </c>
      <c r="F24" s="8">
        <v>1991</v>
      </c>
      <c r="G24" s="8">
        <v>1992</v>
      </c>
      <c r="H24" s="8">
        <v>1993</v>
      </c>
      <c r="I24" s="8">
        <v>1994</v>
      </c>
      <c r="J24" s="8">
        <v>1995</v>
      </c>
      <c r="K24" s="8">
        <v>1996</v>
      </c>
      <c r="L24" s="8">
        <v>1997</v>
      </c>
      <c r="M24" s="8">
        <v>1998</v>
      </c>
      <c r="N24" s="8">
        <v>1999</v>
      </c>
      <c r="O24" s="8">
        <v>2000</v>
      </c>
      <c r="P24" s="8">
        <v>2001</v>
      </c>
      <c r="Q24" s="8">
        <v>2002</v>
      </c>
      <c r="R24" s="8">
        <v>2003</v>
      </c>
      <c r="S24" s="8">
        <v>2004</v>
      </c>
      <c r="T24" s="8">
        <v>2005</v>
      </c>
      <c r="U24" s="8">
        <v>2006</v>
      </c>
      <c r="V24" s="8">
        <v>2007</v>
      </c>
      <c r="W24" s="8">
        <v>2008</v>
      </c>
      <c r="X24" s="8">
        <v>2009</v>
      </c>
      <c r="Y24" s="8">
        <v>2010</v>
      </c>
      <c r="Z24" s="8">
        <v>2011</v>
      </c>
      <c r="AA24" s="8">
        <v>2012</v>
      </c>
      <c r="AB24" s="8">
        <v>2013</v>
      </c>
      <c r="AC24" s="8">
        <v>2014</v>
      </c>
      <c r="AD24" s="8">
        <v>2015</v>
      </c>
      <c r="AE24" s="8">
        <v>2016</v>
      </c>
      <c r="AF24" s="8">
        <v>2017</v>
      </c>
      <c r="AG24" s="8">
        <v>2018</v>
      </c>
      <c r="AH24" s="8">
        <v>2019</v>
      </c>
      <c r="AI24" s="8">
        <v>2020</v>
      </c>
      <c r="AJ24" s="8">
        <v>2021</v>
      </c>
      <c r="AK24" s="8">
        <v>2022</v>
      </c>
      <c r="AL24" s="8">
        <v>2023</v>
      </c>
      <c r="AM24" s="8">
        <v>2024</v>
      </c>
      <c r="AN24" s="8">
        <v>2025</v>
      </c>
      <c r="AO24" s="8">
        <v>2026</v>
      </c>
      <c r="AP24" s="8">
        <v>2027</v>
      </c>
      <c r="AQ24" s="8">
        <v>2028</v>
      </c>
      <c r="AR24" s="8">
        <v>2029</v>
      </c>
      <c r="AS24" s="8">
        <v>2030</v>
      </c>
      <c r="AT24" s="8">
        <v>2031</v>
      </c>
      <c r="AU24" s="8">
        <v>2032</v>
      </c>
      <c r="AV24" s="8">
        <v>2033</v>
      </c>
      <c r="AW24" s="8">
        <v>2034</v>
      </c>
      <c r="AX24" s="8">
        <v>2035</v>
      </c>
      <c r="AY24" s="8">
        <v>2036</v>
      </c>
      <c r="AZ24" s="8">
        <v>2037</v>
      </c>
      <c r="BA24" s="8">
        <v>2038</v>
      </c>
      <c r="BB24" s="8">
        <v>2039</v>
      </c>
      <c r="BC24" s="8">
        <v>2040</v>
      </c>
      <c r="BD24" s="8">
        <v>2041</v>
      </c>
      <c r="BE24" s="8">
        <v>2042</v>
      </c>
      <c r="BF24" s="8">
        <v>2043</v>
      </c>
      <c r="BG24" s="8">
        <v>2044</v>
      </c>
      <c r="BH24" s="8">
        <v>2045</v>
      </c>
      <c r="BI24" s="8">
        <v>2046</v>
      </c>
      <c r="BJ24" s="8">
        <v>2047</v>
      </c>
      <c r="BK24" s="8">
        <v>2048</v>
      </c>
      <c r="BL24" s="8">
        <v>2049</v>
      </c>
      <c r="BM24" s="8">
        <v>2050</v>
      </c>
    </row>
    <row r="25" spans="2:65" x14ac:dyDescent="0.3">
      <c r="B25" s="12"/>
      <c r="C25" s="9" t="s">
        <v>13</v>
      </c>
      <c r="D25" s="9" t="s">
        <v>14</v>
      </c>
      <c r="E25" s="18">
        <v>440.92</v>
      </c>
      <c r="F25" s="18">
        <v>441.17</v>
      </c>
      <c r="G25" s="18">
        <v>444.93999999999897</v>
      </c>
      <c r="H25" s="18">
        <v>445.07</v>
      </c>
      <c r="I25" s="18">
        <v>445.34</v>
      </c>
      <c r="J25" s="18">
        <v>454.18</v>
      </c>
      <c r="K25" s="18">
        <v>460.34</v>
      </c>
      <c r="L25" s="18">
        <v>472.55</v>
      </c>
      <c r="M25" s="18">
        <v>487.05999999999898</v>
      </c>
      <c r="N25" s="18">
        <v>492.83999999999901</v>
      </c>
      <c r="O25" s="18">
        <v>504.58</v>
      </c>
      <c r="P25" s="18">
        <v>512.64</v>
      </c>
      <c r="Q25" s="18">
        <v>516.099999999999</v>
      </c>
      <c r="R25" s="18">
        <v>515.1</v>
      </c>
      <c r="S25" s="18">
        <v>531.75</v>
      </c>
      <c r="T25" s="18">
        <v>537.099999999999</v>
      </c>
      <c r="U25" s="18">
        <v>542.29999999999995</v>
      </c>
      <c r="V25" s="18">
        <v>550</v>
      </c>
      <c r="W25" s="18">
        <v>552.79999999999995</v>
      </c>
      <c r="X25" s="18">
        <v>554.70000000000005</v>
      </c>
      <c r="Y25" s="18">
        <v>549.79999999999995</v>
      </c>
      <c r="Z25" s="18">
        <v>551.4</v>
      </c>
      <c r="AA25" s="18">
        <v>553.70000000000005</v>
      </c>
      <c r="AB25" s="18">
        <v>545.69999999999902</v>
      </c>
      <c r="AC25" s="18">
        <v>538.20000000000005</v>
      </c>
      <c r="AD25" s="18">
        <v>546.69999999999902</v>
      </c>
      <c r="AE25" s="18">
        <v>555.70000000000005</v>
      </c>
      <c r="AF25" s="18">
        <v>565.19999999999902</v>
      </c>
      <c r="AG25" s="18">
        <v>566.70000000000005</v>
      </c>
      <c r="AH25" s="18">
        <v>560.79999999999995</v>
      </c>
      <c r="AI25" s="18">
        <v>541.9</v>
      </c>
      <c r="AJ25" s="18">
        <v>533.099999999999</v>
      </c>
      <c r="AK25" s="18">
        <v>527.20000000000005</v>
      </c>
      <c r="AL25" s="18">
        <v>530.4</v>
      </c>
      <c r="AM25" s="18" t="s">
        <v>32</v>
      </c>
      <c r="AN25" s="18" t="s">
        <v>32</v>
      </c>
      <c r="AO25" s="18" t="s">
        <v>32</v>
      </c>
      <c r="AP25" s="18" t="s">
        <v>32</v>
      </c>
      <c r="AQ25" s="18" t="s">
        <v>32</v>
      </c>
      <c r="AR25" s="18" t="s">
        <v>32</v>
      </c>
      <c r="AS25" s="18" t="s">
        <v>32</v>
      </c>
      <c r="AT25" s="18" t="s">
        <v>32</v>
      </c>
      <c r="AU25" s="18" t="s">
        <v>32</v>
      </c>
      <c r="AV25" s="18" t="s">
        <v>32</v>
      </c>
      <c r="AW25" s="18" t="s">
        <v>32</v>
      </c>
      <c r="AX25" s="18" t="s">
        <v>32</v>
      </c>
      <c r="AY25" s="18" t="s">
        <v>32</v>
      </c>
      <c r="AZ25" s="18" t="s">
        <v>32</v>
      </c>
      <c r="BA25" s="18" t="s">
        <v>32</v>
      </c>
      <c r="BB25" s="18" t="s">
        <v>32</v>
      </c>
      <c r="BC25" s="18" t="s">
        <v>32</v>
      </c>
      <c r="BD25" s="18" t="s">
        <v>32</v>
      </c>
      <c r="BE25" s="18" t="s">
        <v>32</v>
      </c>
      <c r="BF25" s="18" t="s">
        <v>32</v>
      </c>
      <c r="BG25" s="18" t="s">
        <v>32</v>
      </c>
      <c r="BH25" s="18" t="s">
        <v>32</v>
      </c>
      <c r="BI25" s="18" t="s">
        <v>32</v>
      </c>
      <c r="BJ25" s="18" t="s">
        <v>32</v>
      </c>
      <c r="BK25" s="18" t="s">
        <v>32</v>
      </c>
      <c r="BL25" s="18" t="s">
        <v>32</v>
      </c>
      <c r="BM25" s="18" t="s">
        <v>32</v>
      </c>
    </row>
    <row r="26" spans="2:65" x14ac:dyDescent="0.3">
      <c r="B26" s="12"/>
      <c r="C26" s="9" t="s">
        <v>15</v>
      </c>
      <c r="D26" s="9" t="s">
        <v>16</v>
      </c>
      <c r="E26" s="18">
        <v>178.27</v>
      </c>
      <c r="F26" s="18">
        <v>157.77000000000001</v>
      </c>
      <c r="G26" s="18">
        <v>113.48</v>
      </c>
      <c r="H26" s="18">
        <v>92.16</v>
      </c>
      <c r="I26" s="18">
        <v>81.790000000000006</v>
      </c>
      <c r="J26" s="18">
        <v>60.7</v>
      </c>
      <c r="K26" s="18">
        <v>55.73</v>
      </c>
      <c r="L26" s="18">
        <v>41.82</v>
      </c>
      <c r="M26" s="18">
        <v>44.98</v>
      </c>
      <c r="N26" s="18">
        <v>59.47</v>
      </c>
      <c r="O26" s="18">
        <v>69.37</v>
      </c>
      <c r="P26" s="18">
        <v>78.069999999999993</v>
      </c>
      <c r="Q26" s="18">
        <v>78.959999999999994</v>
      </c>
      <c r="R26" s="18">
        <v>79.27</v>
      </c>
      <c r="S26" s="18">
        <v>46.72</v>
      </c>
      <c r="T26" s="18">
        <v>75</v>
      </c>
      <c r="U26" s="18">
        <v>106.3</v>
      </c>
      <c r="V26" s="18">
        <v>80.2</v>
      </c>
      <c r="W26" s="18">
        <v>65.8</v>
      </c>
      <c r="X26" s="18">
        <v>57.2</v>
      </c>
      <c r="Y26" s="18">
        <v>63.4</v>
      </c>
      <c r="Z26" s="18">
        <v>30.1</v>
      </c>
      <c r="AA26" s="18">
        <v>4</v>
      </c>
      <c r="AB26" s="18">
        <v>14.6</v>
      </c>
      <c r="AC26" s="18">
        <v>4.3</v>
      </c>
      <c r="AD26" s="18">
        <v>-9.6</v>
      </c>
      <c r="AE26" s="18">
        <v>-60.4</v>
      </c>
      <c r="AF26" s="18">
        <v>-29.3</v>
      </c>
      <c r="AG26" s="18">
        <v>-58.4</v>
      </c>
      <c r="AH26" s="18">
        <v>-63.5</v>
      </c>
      <c r="AI26" s="18">
        <v>-61.2</v>
      </c>
      <c r="AJ26" s="18">
        <v>-88.5</v>
      </c>
      <c r="AK26" s="18">
        <v>-88.4</v>
      </c>
      <c r="AL26" s="18">
        <v>-88.4</v>
      </c>
      <c r="AM26" s="18" t="s">
        <v>32</v>
      </c>
      <c r="AN26" s="18" t="s">
        <v>32</v>
      </c>
      <c r="AO26" s="18" t="s">
        <v>32</v>
      </c>
      <c r="AP26" s="18" t="s">
        <v>32</v>
      </c>
      <c r="AQ26" s="18" t="s">
        <v>32</v>
      </c>
      <c r="AR26" s="18" t="s">
        <v>32</v>
      </c>
      <c r="AS26" s="18" t="s">
        <v>32</v>
      </c>
      <c r="AT26" s="18" t="s">
        <v>32</v>
      </c>
      <c r="AU26" s="18" t="s">
        <v>32</v>
      </c>
      <c r="AV26" s="18" t="s">
        <v>32</v>
      </c>
      <c r="AW26" s="18" t="s">
        <v>32</v>
      </c>
      <c r="AX26" s="18" t="s">
        <v>32</v>
      </c>
      <c r="AY26" s="18" t="s">
        <v>32</v>
      </c>
      <c r="AZ26" s="18" t="s">
        <v>32</v>
      </c>
      <c r="BA26" s="18" t="s">
        <v>32</v>
      </c>
      <c r="BB26" s="18" t="s">
        <v>32</v>
      </c>
      <c r="BC26" s="18" t="s">
        <v>32</v>
      </c>
      <c r="BD26" s="18" t="s">
        <v>32</v>
      </c>
      <c r="BE26" s="18" t="s">
        <v>32</v>
      </c>
      <c r="BF26" s="18" t="s">
        <v>32</v>
      </c>
      <c r="BG26" s="18" t="s">
        <v>32</v>
      </c>
      <c r="BH26" s="18" t="s">
        <v>32</v>
      </c>
      <c r="BI26" s="18" t="s">
        <v>32</v>
      </c>
      <c r="BJ26" s="18" t="s">
        <v>32</v>
      </c>
      <c r="BK26" s="18" t="s">
        <v>32</v>
      </c>
      <c r="BL26" s="18" t="s">
        <v>32</v>
      </c>
      <c r="BM26" s="18" t="s">
        <v>32</v>
      </c>
    </row>
    <row r="27" spans="2:65" x14ac:dyDescent="0.3">
      <c r="B27" s="12"/>
      <c r="C27" s="9" t="s">
        <v>17</v>
      </c>
      <c r="D27" s="9" t="s">
        <v>18</v>
      </c>
      <c r="E27" s="18" t="s">
        <v>32</v>
      </c>
      <c r="F27" s="18" t="s">
        <v>32</v>
      </c>
      <c r="G27" s="18" t="s">
        <v>32</v>
      </c>
      <c r="H27" s="18" t="s">
        <v>32</v>
      </c>
      <c r="I27" s="18" t="s">
        <v>32</v>
      </c>
      <c r="J27" s="18" t="s">
        <v>32</v>
      </c>
      <c r="K27" s="18" t="s">
        <v>32</v>
      </c>
      <c r="L27" s="18" t="s">
        <v>32</v>
      </c>
      <c r="M27" s="18" t="s">
        <v>32</v>
      </c>
      <c r="N27" s="18" t="s">
        <v>32</v>
      </c>
      <c r="O27" s="18" t="s">
        <v>32</v>
      </c>
      <c r="P27" s="18" t="s">
        <v>32</v>
      </c>
      <c r="Q27" s="18" t="s">
        <v>32</v>
      </c>
      <c r="R27" s="18" t="s">
        <v>32</v>
      </c>
      <c r="S27" s="18" t="s">
        <v>32</v>
      </c>
      <c r="T27" s="18" t="s">
        <v>32</v>
      </c>
      <c r="U27" s="18" t="s">
        <v>32</v>
      </c>
      <c r="V27" s="18" t="s">
        <v>32</v>
      </c>
      <c r="W27" s="18" t="s">
        <v>32</v>
      </c>
      <c r="X27" s="18" t="s">
        <v>32</v>
      </c>
      <c r="Y27" s="18" t="s">
        <v>32</v>
      </c>
      <c r="Z27" s="18" t="s">
        <v>32</v>
      </c>
      <c r="AA27" s="18" t="s">
        <v>32</v>
      </c>
      <c r="AB27" s="18" t="s">
        <v>32</v>
      </c>
      <c r="AC27" s="18" t="s">
        <v>32</v>
      </c>
      <c r="AD27" s="18" t="s">
        <v>32</v>
      </c>
      <c r="AE27" s="18" t="s">
        <v>32</v>
      </c>
      <c r="AF27" s="18" t="s">
        <v>32</v>
      </c>
      <c r="AG27" s="18" t="s">
        <v>32</v>
      </c>
      <c r="AH27" s="18" t="s">
        <v>32</v>
      </c>
      <c r="AI27" s="18" t="s">
        <v>32</v>
      </c>
      <c r="AJ27" s="18" t="s">
        <v>32</v>
      </c>
      <c r="AK27" s="18" t="s">
        <v>32</v>
      </c>
      <c r="AL27" s="18" t="s">
        <v>32</v>
      </c>
      <c r="AM27" s="18">
        <v>523</v>
      </c>
      <c r="AN27" s="18">
        <v>511.98635160680499</v>
      </c>
      <c r="AO27" s="18">
        <v>504.97676748582199</v>
      </c>
      <c r="AP27" s="18">
        <v>496.83022684309998</v>
      </c>
      <c r="AQ27" s="18">
        <v>471.34262759924297</v>
      </c>
      <c r="AR27" s="18">
        <v>440.87219281663499</v>
      </c>
      <c r="AS27" s="18">
        <v>411.16302457466901</v>
      </c>
      <c r="AT27" s="18">
        <v>408.91877126653998</v>
      </c>
      <c r="AU27" s="18">
        <v>395.80916824196601</v>
      </c>
      <c r="AV27" s="18">
        <v>385.54689981096402</v>
      </c>
      <c r="AW27" s="18">
        <v>378.45822306238102</v>
      </c>
      <c r="AX27" s="18">
        <v>358.18085066162502</v>
      </c>
      <c r="AY27" s="18" t="s">
        <v>32</v>
      </c>
      <c r="AZ27" s="18" t="s">
        <v>32</v>
      </c>
      <c r="BA27" s="18" t="s">
        <v>32</v>
      </c>
      <c r="BB27" s="18" t="s">
        <v>32</v>
      </c>
      <c r="BC27" s="18" t="s">
        <v>32</v>
      </c>
      <c r="BD27" s="18" t="s">
        <v>32</v>
      </c>
      <c r="BE27" s="18" t="s">
        <v>32</v>
      </c>
      <c r="BF27" s="18" t="s">
        <v>32</v>
      </c>
      <c r="BG27" s="18" t="s">
        <v>32</v>
      </c>
      <c r="BH27" s="18" t="s">
        <v>32</v>
      </c>
      <c r="BI27" s="18" t="s">
        <v>32</v>
      </c>
      <c r="BJ27" s="18" t="s">
        <v>32</v>
      </c>
      <c r="BK27" s="18" t="s">
        <v>32</v>
      </c>
      <c r="BL27" s="18" t="s">
        <v>32</v>
      </c>
      <c r="BM27" s="18" t="s">
        <v>32</v>
      </c>
    </row>
    <row r="28" spans="2:65" x14ac:dyDescent="0.3">
      <c r="B28" s="12"/>
      <c r="C28" s="9" t="s">
        <v>17</v>
      </c>
      <c r="D28" s="9" t="s">
        <v>19</v>
      </c>
      <c r="E28" s="18" t="s">
        <v>32</v>
      </c>
      <c r="F28" s="18" t="s">
        <v>32</v>
      </c>
      <c r="G28" s="18" t="s">
        <v>32</v>
      </c>
      <c r="H28" s="18" t="s">
        <v>32</v>
      </c>
      <c r="I28" s="18" t="s">
        <v>32</v>
      </c>
      <c r="J28" s="18" t="s">
        <v>32</v>
      </c>
      <c r="K28" s="18" t="s">
        <v>32</v>
      </c>
      <c r="L28" s="18" t="s">
        <v>32</v>
      </c>
      <c r="M28" s="18" t="s">
        <v>32</v>
      </c>
      <c r="N28" s="18" t="s">
        <v>32</v>
      </c>
      <c r="O28" s="18" t="s">
        <v>32</v>
      </c>
      <c r="P28" s="18" t="s">
        <v>32</v>
      </c>
      <c r="Q28" s="18" t="s">
        <v>32</v>
      </c>
      <c r="R28" s="18" t="s">
        <v>32</v>
      </c>
      <c r="S28" s="18" t="s">
        <v>32</v>
      </c>
      <c r="T28" s="18" t="s">
        <v>32</v>
      </c>
      <c r="U28" s="18" t="s">
        <v>32</v>
      </c>
      <c r="V28" s="18" t="s">
        <v>32</v>
      </c>
      <c r="W28" s="18" t="s">
        <v>32</v>
      </c>
      <c r="X28" s="18" t="s">
        <v>32</v>
      </c>
      <c r="Y28" s="18" t="s">
        <v>32</v>
      </c>
      <c r="Z28" s="18" t="s">
        <v>32</v>
      </c>
      <c r="AA28" s="18" t="s">
        <v>32</v>
      </c>
      <c r="AB28" s="18" t="s">
        <v>32</v>
      </c>
      <c r="AC28" s="18" t="s">
        <v>32</v>
      </c>
      <c r="AD28" s="18" t="s">
        <v>32</v>
      </c>
      <c r="AE28" s="18" t="s">
        <v>32</v>
      </c>
      <c r="AF28" s="18" t="s">
        <v>32</v>
      </c>
      <c r="AG28" s="18" t="s">
        <v>32</v>
      </c>
      <c r="AH28" s="18" t="s">
        <v>32</v>
      </c>
      <c r="AI28" s="18" t="s">
        <v>32</v>
      </c>
      <c r="AJ28" s="18" t="s">
        <v>32</v>
      </c>
      <c r="AK28" s="18" t="s">
        <v>32</v>
      </c>
      <c r="AL28" s="18" t="s">
        <v>32</v>
      </c>
      <c r="AM28" s="18">
        <v>523</v>
      </c>
      <c r="AN28" s="18">
        <v>515.17112208759397</v>
      </c>
      <c r="AO28" s="18">
        <v>510.47423681657398</v>
      </c>
      <c r="AP28" s="18">
        <v>501.81767215880097</v>
      </c>
      <c r="AQ28" s="18">
        <v>485.907916923306</v>
      </c>
      <c r="AR28" s="18">
        <v>472.788013589576</v>
      </c>
      <c r="AS28" s="18">
        <v>453.90377017140497</v>
      </c>
      <c r="AT28" s="18">
        <v>452.044240147408</v>
      </c>
      <c r="AU28" s="18">
        <v>434.30786136558203</v>
      </c>
      <c r="AV28" s="18">
        <v>421.40498805829901</v>
      </c>
      <c r="AW28" s="18">
        <v>415.61362735438797</v>
      </c>
      <c r="AX28" s="18">
        <v>386.11644247700798</v>
      </c>
      <c r="AY28" s="18" t="s">
        <v>32</v>
      </c>
      <c r="AZ28" s="18" t="s">
        <v>32</v>
      </c>
      <c r="BA28" s="18" t="s">
        <v>32</v>
      </c>
      <c r="BB28" s="18" t="s">
        <v>32</v>
      </c>
      <c r="BC28" s="18" t="s">
        <v>32</v>
      </c>
      <c r="BD28" s="18" t="s">
        <v>32</v>
      </c>
      <c r="BE28" s="18" t="s">
        <v>32</v>
      </c>
      <c r="BF28" s="18" t="s">
        <v>32</v>
      </c>
      <c r="BG28" s="18" t="s">
        <v>32</v>
      </c>
      <c r="BH28" s="18" t="s">
        <v>32</v>
      </c>
      <c r="BI28" s="18" t="s">
        <v>32</v>
      </c>
      <c r="BJ28" s="18" t="s">
        <v>32</v>
      </c>
      <c r="BK28" s="18" t="s">
        <v>32</v>
      </c>
      <c r="BL28" s="18" t="s">
        <v>32</v>
      </c>
      <c r="BM28" s="18" t="s">
        <v>32</v>
      </c>
    </row>
    <row r="29" spans="2:65" x14ac:dyDescent="0.3">
      <c r="B29" s="12"/>
      <c r="C29" s="9" t="s">
        <v>20</v>
      </c>
      <c r="D29" s="9" t="s">
        <v>18</v>
      </c>
      <c r="E29" s="18" t="s">
        <v>32</v>
      </c>
      <c r="F29" s="18" t="s">
        <v>32</v>
      </c>
      <c r="G29" s="18" t="s">
        <v>32</v>
      </c>
      <c r="H29" s="18" t="s">
        <v>32</v>
      </c>
      <c r="I29" s="18" t="s">
        <v>32</v>
      </c>
      <c r="J29" s="18" t="s">
        <v>32</v>
      </c>
      <c r="K29" s="18" t="s">
        <v>32</v>
      </c>
      <c r="L29" s="18" t="s">
        <v>32</v>
      </c>
      <c r="M29" s="18" t="s">
        <v>32</v>
      </c>
      <c r="N29" s="18" t="s">
        <v>32</v>
      </c>
      <c r="O29" s="18" t="s">
        <v>32</v>
      </c>
      <c r="P29" s="18" t="s">
        <v>32</v>
      </c>
      <c r="Q29" s="18" t="s">
        <v>32</v>
      </c>
      <c r="R29" s="18" t="s">
        <v>32</v>
      </c>
      <c r="S29" s="18" t="s">
        <v>32</v>
      </c>
      <c r="T29" s="18" t="s">
        <v>32</v>
      </c>
      <c r="U29" s="18" t="s">
        <v>32</v>
      </c>
      <c r="V29" s="18" t="s">
        <v>32</v>
      </c>
      <c r="W29" s="18" t="s">
        <v>32</v>
      </c>
      <c r="X29" s="18" t="s">
        <v>32</v>
      </c>
      <c r="Y29" s="18" t="s">
        <v>32</v>
      </c>
      <c r="Z29" s="18" t="s">
        <v>32</v>
      </c>
      <c r="AA29" s="18" t="s">
        <v>32</v>
      </c>
      <c r="AB29" s="18" t="s">
        <v>32</v>
      </c>
      <c r="AC29" s="18" t="s">
        <v>32</v>
      </c>
      <c r="AD29" s="18" t="s">
        <v>32</v>
      </c>
      <c r="AE29" s="18" t="s">
        <v>32</v>
      </c>
      <c r="AF29" s="18" t="s">
        <v>32</v>
      </c>
      <c r="AG29" s="18" t="s">
        <v>32</v>
      </c>
      <c r="AH29" s="18" t="s">
        <v>32</v>
      </c>
      <c r="AI29" s="18" t="s">
        <v>32</v>
      </c>
      <c r="AJ29" s="18" t="s">
        <v>32</v>
      </c>
      <c r="AK29" s="18" t="s">
        <v>32</v>
      </c>
      <c r="AL29" s="18" t="s">
        <v>32</v>
      </c>
      <c r="AM29" s="18">
        <v>523</v>
      </c>
      <c r="AN29" s="18">
        <v>511.98635160680499</v>
      </c>
      <c r="AO29" s="18">
        <v>504.97676748582199</v>
      </c>
      <c r="AP29" s="18">
        <v>496.83022684309998</v>
      </c>
      <c r="AQ29" s="18">
        <v>474.59531190926202</v>
      </c>
      <c r="AR29" s="18">
        <v>443.03735349716402</v>
      </c>
      <c r="AS29" s="18">
        <v>410.31277882797701</v>
      </c>
      <c r="AT29" s="18">
        <v>409.14616257088801</v>
      </c>
      <c r="AU29" s="18">
        <v>397.34158790170102</v>
      </c>
      <c r="AV29" s="18">
        <v>387.316597353497</v>
      </c>
      <c r="AW29" s="18">
        <v>379.397448015122</v>
      </c>
      <c r="AX29" s="18">
        <v>357.99300567107701</v>
      </c>
      <c r="AY29" s="18" t="s">
        <v>32</v>
      </c>
      <c r="AZ29" s="18" t="s">
        <v>32</v>
      </c>
      <c r="BA29" s="18" t="s">
        <v>32</v>
      </c>
      <c r="BB29" s="18" t="s">
        <v>32</v>
      </c>
      <c r="BC29" s="18" t="s">
        <v>32</v>
      </c>
      <c r="BD29" s="18" t="s">
        <v>32</v>
      </c>
      <c r="BE29" s="18" t="s">
        <v>32</v>
      </c>
      <c r="BF29" s="18" t="s">
        <v>32</v>
      </c>
      <c r="BG29" s="18" t="s">
        <v>32</v>
      </c>
      <c r="BH29" s="18" t="s">
        <v>32</v>
      </c>
      <c r="BI29" s="18" t="s">
        <v>32</v>
      </c>
      <c r="BJ29" s="18" t="s">
        <v>32</v>
      </c>
      <c r="BK29" s="18" t="s">
        <v>32</v>
      </c>
      <c r="BL29" s="18" t="s">
        <v>32</v>
      </c>
      <c r="BM29" s="18" t="s">
        <v>32</v>
      </c>
    </row>
    <row r="30" spans="2:65" x14ac:dyDescent="0.3">
      <c r="B30" s="12"/>
      <c r="C30" s="9" t="s">
        <v>20</v>
      </c>
      <c r="D30" s="9" t="s">
        <v>19</v>
      </c>
      <c r="E30" s="18" t="s">
        <v>32</v>
      </c>
      <c r="F30" s="18" t="s">
        <v>32</v>
      </c>
      <c r="G30" s="18" t="s">
        <v>32</v>
      </c>
      <c r="H30" s="18" t="s">
        <v>32</v>
      </c>
      <c r="I30" s="18" t="s">
        <v>32</v>
      </c>
      <c r="J30" s="18" t="s">
        <v>32</v>
      </c>
      <c r="K30" s="18" t="s">
        <v>32</v>
      </c>
      <c r="L30" s="18" t="s">
        <v>32</v>
      </c>
      <c r="M30" s="18" t="s">
        <v>32</v>
      </c>
      <c r="N30" s="18" t="s">
        <v>32</v>
      </c>
      <c r="O30" s="18" t="s">
        <v>32</v>
      </c>
      <c r="P30" s="18" t="s">
        <v>32</v>
      </c>
      <c r="Q30" s="18" t="s">
        <v>32</v>
      </c>
      <c r="R30" s="18" t="s">
        <v>32</v>
      </c>
      <c r="S30" s="18" t="s">
        <v>32</v>
      </c>
      <c r="T30" s="18" t="s">
        <v>32</v>
      </c>
      <c r="U30" s="18" t="s">
        <v>32</v>
      </c>
      <c r="V30" s="18" t="s">
        <v>32</v>
      </c>
      <c r="W30" s="18" t="s">
        <v>32</v>
      </c>
      <c r="X30" s="18" t="s">
        <v>32</v>
      </c>
      <c r="Y30" s="18" t="s">
        <v>32</v>
      </c>
      <c r="Z30" s="18" t="s">
        <v>32</v>
      </c>
      <c r="AA30" s="18" t="s">
        <v>32</v>
      </c>
      <c r="AB30" s="18" t="s">
        <v>32</v>
      </c>
      <c r="AC30" s="18" t="s">
        <v>32</v>
      </c>
      <c r="AD30" s="18" t="s">
        <v>32</v>
      </c>
      <c r="AE30" s="18" t="s">
        <v>32</v>
      </c>
      <c r="AF30" s="18" t="s">
        <v>32</v>
      </c>
      <c r="AG30" s="18" t="s">
        <v>32</v>
      </c>
      <c r="AH30" s="18" t="s">
        <v>32</v>
      </c>
      <c r="AI30" s="18" t="s">
        <v>32</v>
      </c>
      <c r="AJ30" s="18" t="s">
        <v>32</v>
      </c>
      <c r="AK30" s="18" t="s">
        <v>32</v>
      </c>
      <c r="AL30" s="18" t="s">
        <v>32</v>
      </c>
      <c r="AM30" s="18">
        <v>523</v>
      </c>
      <c r="AN30" s="18">
        <v>511.98635160680499</v>
      </c>
      <c r="AO30" s="18">
        <v>504.97676748582199</v>
      </c>
      <c r="AP30" s="18">
        <v>496.83022684309998</v>
      </c>
      <c r="AQ30" s="18">
        <v>474.59531190926202</v>
      </c>
      <c r="AR30" s="18">
        <v>443.03735349716402</v>
      </c>
      <c r="AS30" s="18">
        <v>410.31277882797701</v>
      </c>
      <c r="AT30" s="18">
        <v>409.14616257088801</v>
      </c>
      <c r="AU30" s="18">
        <v>397.34158790170102</v>
      </c>
      <c r="AV30" s="18">
        <v>387.316597353497</v>
      </c>
      <c r="AW30" s="18">
        <v>379.397448015122</v>
      </c>
      <c r="AX30" s="18">
        <v>357.99300567107701</v>
      </c>
      <c r="AY30" s="18" t="s">
        <v>32</v>
      </c>
      <c r="AZ30" s="18" t="s">
        <v>32</v>
      </c>
      <c r="BA30" s="18" t="s">
        <v>32</v>
      </c>
      <c r="BB30" s="18" t="s">
        <v>32</v>
      </c>
      <c r="BC30" s="18" t="s">
        <v>32</v>
      </c>
      <c r="BD30" s="18" t="s">
        <v>32</v>
      </c>
      <c r="BE30" s="18" t="s">
        <v>32</v>
      </c>
      <c r="BF30" s="18" t="s">
        <v>32</v>
      </c>
      <c r="BG30" s="18" t="s">
        <v>32</v>
      </c>
      <c r="BH30" s="18" t="s">
        <v>32</v>
      </c>
      <c r="BI30" s="18" t="s">
        <v>32</v>
      </c>
      <c r="BJ30" s="18" t="s">
        <v>32</v>
      </c>
      <c r="BK30" s="18" t="s">
        <v>32</v>
      </c>
      <c r="BL30" s="18" t="s">
        <v>32</v>
      </c>
      <c r="BM30" s="18" t="s">
        <v>32</v>
      </c>
    </row>
    <row r="31" spans="2:65" x14ac:dyDescent="0.3">
      <c r="B31" s="13"/>
      <c r="C31" s="9" t="s">
        <v>21</v>
      </c>
      <c r="D31" s="9" t="s">
        <v>22</v>
      </c>
      <c r="E31" s="18" t="s">
        <v>32</v>
      </c>
      <c r="F31" s="18" t="s">
        <v>32</v>
      </c>
      <c r="G31" s="18" t="s">
        <v>32</v>
      </c>
      <c r="H31" s="18" t="s">
        <v>32</v>
      </c>
      <c r="I31" s="18" t="s">
        <v>32</v>
      </c>
      <c r="J31" s="18" t="s">
        <v>32</v>
      </c>
      <c r="K31" s="18" t="s">
        <v>32</v>
      </c>
      <c r="L31" s="18" t="s">
        <v>32</v>
      </c>
      <c r="M31" s="18" t="s">
        <v>32</v>
      </c>
      <c r="N31" s="18" t="s">
        <v>32</v>
      </c>
      <c r="O31" s="18" t="s">
        <v>32</v>
      </c>
      <c r="P31" s="18" t="s">
        <v>32</v>
      </c>
      <c r="Q31" s="18" t="s">
        <v>32</v>
      </c>
      <c r="R31" s="18" t="s">
        <v>32</v>
      </c>
      <c r="S31" s="18" t="s">
        <v>32</v>
      </c>
      <c r="T31" s="18" t="s">
        <v>32</v>
      </c>
      <c r="U31" s="18" t="s">
        <v>32</v>
      </c>
      <c r="V31" s="18" t="s">
        <v>32</v>
      </c>
      <c r="W31" s="18" t="s">
        <v>32</v>
      </c>
      <c r="X31" s="18" t="s">
        <v>32</v>
      </c>
      <c r="Y31" s="18" t="s">
        <v>32</v>
      </c>
      <c r="Z31" s="18" t="s">
        <v>32</v>
      </c>
      <c r="AA31" s="18" t="s">
        <v>32</v>
      </c>
      <c r="AB31" s="18" t="s">
        <v>32</v>
      </c>
      <c r="AC31" s="18" t="s">
        <v>32</v>
      </c>
      <c r="AD31" s="18" t="s">
        <v>32</v>
      </c>
      <c r="AE31" s="18" t="s">
        <v>32</v>
      </c>
      <c r="AF31" s="18" t="s">
        <v>32</v>
      </c>
      <c r="AG31" s="18" t="s">
        <v>32</v>
      </c>
      <c r="AH31" s="18" t="s">
        <v>32</v>
      </c>
      <c r="AI31" s="18" t="s">
        <v>32</v>
      </c>
      <c r="AJ31" s="18" t="s">
        <v>32</v>
      </c>
      <c r="AK31" s="18" t="s">
        <v>32</v>
      </c>
      <c r="AL31" s="18" t="s">
        <v>32</v>
      </c>
      <c r="AM31" s="18" t="s">
        <v>32</v>
      </c>
      <c r="AN31" s="18" t="s">
        <v>32</v>
      </c>
      <c r="AO31" s="18" t="s">
        <v>32</v>
      </c>
      <c r="AP31" s="18" t="s">
        <v>32</v>
      </c>
      <c r="AQ31" s="18" t="s">
        <v>32</v>
      </c>
      <c r="AR31" s="18" t="s">
        <v>32</v>
      </c>
      <c r="AS31" s="18">
        <v>412.50700000000001</v>
      </c>
      <c r="AT31" s="18" t="s">
        <v>32</v>
      </c>
      <c r="AU31" s="18" t="s">
        <v>32</v>
      </c>
      <c r="AV31" s="18" t="s">
        <v>32</v>
      </c>
      <c r="AW31" s="18" t="s">
        <v>32</v>
      </c>
      <c r="AX31" s="18" t="s">
        <v>32</v>
      </c>
      <c r="AY31" s="18" t="s">
        <v>32</v>
      </c>
      <c r="AZ31" s="18" t="s">
        <v>32</v>
      </c>
      <c r="BA31" s="18" t="s">
        <v>32</v>
      </c>
      <c r="BB31" s="18" t="s">
        <v>32</v>
      </c>
      <c r="BC31" s="18" t="s">
        <v>32</v>
      </c>
      <c r="BD31" s="18" t="s">
        <v>32</v>
      </c>
      <c r="BE31" s="18" t="s">
        <v>32</v>
      </c>
      <c r="BF31" s="18" t="s">
        <v>32</v>
      </c>
      <c r="BG31" s="18" t="s">
        <v>32</v>
      </c>
      <c r="BH31" s="18" t="s">
        <v>32</v>
      </c>
      <c r="BI31" s="18" t="s">
        <v>32</v>
      </c>
      <c r="BJ31" s="18" t="s">
        <v>32</v>
      </c>
      <c r="BK31" s="18" t="s">
        <v>32</v>
      </c>
      <c r="BL31" s="18" t="s">
        <v>32</v>
      </c>
      <c r="BM31" s="18" t="s">
        <v>32</v>
      </c>
    </row>
    <row r="32" spans="2:65" x14ac:dyDescent="0.3">
      <c r="C32" s="9" t="s">
        <v>21</v>
      </c>
      <c r="D32" s="9" t="s">
        <v>23</v>
      </c>
      <c r="E32" s="18" t="s">
        <v>32</v>
      </c>
      <c r="F32" s="18" t="s">
        <v>32</v>
      </c>
      <c r="G32" s="18" t="s">
        <v>32</v>
      </c>
      <c r="H32" s="18" t="s">
        <v>32</v>
      </c>
      <c r="I32" s="18" t="s">
        <v>32</v>
      </c>
      <c r="J32" s="18" t="s">
        <v>32</v>
      </c>
      <c r="K32" s="18" t="s">
        <v>32</v>
      </c>
      <c r="L32" s="18" t="s">
        <v>32</v>
      </c>
      <c r="M32" s="18" t="s">
        <v>32</v>
      </c>
      <c r="N32" s="18" t="s">
        <v>32</v>
      </c>
      <c r="O32" s="18" t="s">
        <v>32</v>
      </c>
      <c r="P32" s="18" t="s">
        <v>32</v>
      </c>
      <c r="Q32" s="18" t="s">
        <v>32</v>
      </c>
      <c r="R32" s="18" t="s">
        <v>32</v>
      </c>
      <c r="S32" s="18" t="s">
        <v>32</v>
      </c>
      <c r="T32" s="18" t="s">
        <v>32</v>
      </c>
      <c r="U32" s="18" t="s">
        <v>32</v>
      </c>
      <c r="V32" s="18" t="s">
        <v>32</v>
      </c>
      <c r="W32" s="18" t="s">
        <v>32</v>
      </c>
      <c r="X32" s="18" t="s">
        <v>32</v>
      </c>
      <c r="Y32" s="18" t="s">
        <v>32</v>
      </c>
      <c r="Z32" s="18" t="s">
        <v>32</v>
      </c>
      <c r="AA32" s="18" t="s">
        <v>32</v>
      </c>
      <c r="AB32" s="18" t="s">
        <v>32</v>
      </c>
      <c r="AC32" s="18" t="s">
        <v>32</v>
      </c>
      <c r="AD32" s="18" t="s">
        <v>32</v>
      </c>
      <c r="AE32" s="18" t="s">
        <v>32</v>
      </c>
      <c r="AF32" s="18" t="s">
        <v>32</v>
      </c>
      <c r="AG32" s="18" t="s">
        <v>32</v>
      </c>
      <c r="AH32" s="18" t="s">
        <v>32</v>
      </c>
      <c r="AI32" s="18" t="s">
        <v>32</v>
      </c>
      <c r="AJ32" s="18" t="s">
        <v>32</v>
      </c>
      <c r="AK32" s="18" t="s">
        <v>32</v>
      </c>
      <c r="AL32" s="18" t="s">
        <v>32</v>
      </c>
      <c r="AM32" s="18" t="s">
        <v>32</v>
      </c>
      <c r="AN32" s="18" t="s">
        <v>32</v>
      </c>
      <c r="AO32" s="18" t="s">
        <v>32</v>
      </c>
      <c r="AP32" s="18" t="s">
        <v>32</v>
      </c>
      <c r="AQ32" s="18" t="s">
        <v>32</v>
      </c>
      <c r="AR32" s="18" t="s">
        <v>32</v>
      </c>
      <c r="AS32" s="18">
        <v>412.50700000000001</v>
      </c>
      <c r="AT32" s="18" t="s">
        <v>32</v>
      </c>
      <c r="AU32" s="18" t="s">
        <v>32</v>
      </c>
      <c r="AV32" s="18" t="s">
        <v>32</v>
      </c>
      <c r="AW32" s="18" t="s">
        <v>32</v>
      </c>
      <c r="AX32" s="18" t="s">
        <v>32</v>
      </c>
      <c r="AY32" s="18" t="s">
        <v>32</v>
      </c>
      <c r="AZ32" s="18" t="s">
        <v>32</v>
      </c>
      <c r="BA32" s="18" t="s">
        <v>32</v>
      </c>
      <c r="BB32" s="18" t="s">
        <v>32</v>
      </c>
      <c r="BC32" s="18" t="s">
        <v>32</v>
      </c>
      <c r="BD32" s="18" t="s">
        <v>32</v>
      </c>
      <c r="BE32" s="18" t="s">
        <v>32</v>
      </c>
      <c r="BF32" s="18" t="s">
        <v>32</v>
      </c>
      <c r="BG32" s="18" t="s">
        <v>32</v>
      </c>
      <c r="BH32" s="18" t="s">
        <v>32</v>
      </c>
      <c r="BI32" s="18" t="s">
        <v>32</v>
      </c>
      <c r="BJ32" s="18" t="s">
        <v>32</v>
      </c>
      <c r="BK32" s="18" t="s">
        <v>32</v>
      </c>
      <c r="BL32" s="18" t="s">
        <v>32</v>
      </c>
      <c r="BM32" s="18" t="s">
        <v>32</v>
      </c>
    </row>
    <row r="33" spans="3:65" x14ac:dyDescent="0.3">
      <c r="C33" s="9" t="s">
        <v>24</v>
      </c>
      <c r="D33" s="9" t="s">
        <v>22</v>
      </c>
      <c r="E33" s="18" t="s">
        <v>32</v>
      </c>
      <c r="F33" s="18" t="s">
        <v>32</v>
      </c>
      <c r="G33" s="18" t="s">
        <v>32</v>
      </c>
      <c r="H33" s="18" t="s">
        <v>32</v>
      </c>
      <c r="I33" s="18" t="s">
        <v>32</v>
      </c>
      <c r="J33" s="18" t="s">
        <v>32</v>
      </c>
      <c r="K33" s="18" t="s">
        <v>32</v>
      </c>
      <c r="L33" s="18" t="s">
        <v>32</v>
      </c>
      <c r="M33" s="18" t="s">
        <v>32</v>
      </c>
      <c r="N33" s="18" t="s">
        <v>32</v>
      </c>
      <c r="O33" s="18" t="s">
        <v>32</v>
      </c>
      <c r="P33" s="18" t="s">
        <v>32</v>
      </c>
      <c r="Q33" s="18" t="s">
        <v>32</v>
      </c>
      <c r="R33" s="18" t="s">
        <v>32</v>
      </c>
      <c r="S33" s="18" t="s">
        <v>32</v>
      </c>
      <c r="T33" s="18" t="s">
        <v>32</v>
      </c>
      <c r="U33" s="18" t="s">
        <v>32</v>
      </c>
      <c r="V33" s="18" t="s">
        <v>32</v>
      </c>
      <c r="W33" s="18" t="s">
        <v>32</v>
      </c>
      <c r="X33" s="18" t="s">
        <v>32</v>
      </c>
      <c r="Y33" s="18" t="s">
        <v>32</v>
      </c>
      <c r="Z33" s="18" t="s">
        <v>32</v>
      </c>
      <c r="AA33" s="18" t="s">
        <v>32</v>
      </c>
      <c r="AB33" s="18" t="s">
        <v>32</v>
      </c>
      <c r="AC33" s="18" t="s">
        <v>32</v>
      </c>
      <c r="AD33" s="18" t="s">
        <v>32</v>
      </c>
      <c r="AE33" s="18" t="s">
        <v>32</v>
      </c>
      <c r="AF33" s="18" t="s">
        <v>32</v>
      </c>
      <c r="AG33" s="18" t="s">
        <v>32</v>
      </c>
      <c r="AH33" s="18" t="s">
        <v>32</v>
      </c>
      <c r="AI33" s="18" t="s">
        <v>32</v>
      </c>
      <c r="AJ33" s="18" t="s">
        <v>32</v>
      </c>
      <c r="AK33" s="18" t="s">
        <v>32</v>
      </c>
      <c r="AL33" s="18" t="s">
        <v>32</v>
      </c>
      <c r="AM33" s="18" t="s">
        <v>32</v>
      </c>
      <c r="AN33" s="18" t="s">
        <v>32</v>
      </c>
      <c r="AO33" s="18" t="s">
        <v>32</v>
      </c>
      <c r="AP33" s="18" t="s">
        <v>32</v>
      </c>
      <c r="AQ33" s="18" t="s">
        <v>32</v>
      </c>
      <c r="AR33" s="18" t="s">
        <v>32</v>
      </c>
      <c r="AS33" s="18" t="s">
        <v>33</v>
      </c>
      <c r="AT33" s="18" t="s">
        <v>32</v>
      </c>
      <c r="AU33" s="18" t="s">
        <v>32</v>
      </c>
      <c r="AV33" s="18" t="s">
        <v>32</v>
      </c>
      <c r="AW33" s="18" t="s">
        <v>32</v>
      </c>
      <c r="AX33" s="18" t="s">
        <v>32</v>
      </c>
      <c r="AY33" s="18" t="s">
        <v>32</v>
      </c>
      <c r="AZ33" s="18" t="s">
        <v>32</v>
      </c>
      <c r="BA33" s="18" t="s">
        <v>32</v>
      </c>
      <c r="BB33" s="18" t="s">
        <v>32</v>
      </c>
      <c r="BC33" s="18" t="s">
        <v>32</v>
      </c>
      <c r="BD33" s="18" t="s">
        <v>32</v>
      </c>
      <c r="BE33" s="18" t="s">
        <v>32</v>
      </c>
      <c r="BF33" s="18" t="s">
        <v>32</v>
      </c>
      <c r="BG33" s="18" t="s">
        <v>32</v>
      </c>
      <c r="BH33" s="18" t="s">
        <v>32</v>
      </c>
      <c r="BI33" s="18" t="s">
        <v>32</v>
      </c>
      <c r="BJ33" s="18" t="s">
        <v>32</v>
      </c>
      <c r="BK33" s="18" t="s">
        <v>32</v>
      </c>
      <c r="BL33" s="18" t="s">
        <v>32</v>
      </c>
      <c r="BM33" s="18" t="s">
        <v>32</v>
      </c>
    </row>
    <row r="34" spans="3:65" x14ac:dyDescent="0.3">
      <c r="C34" s="9" t="s">
        <v>24</v>
      </c>
      <c r="D34" s="9" t="s">
        <v>23</v>
      </c>
      <c r="E34" s="18" t="s">
        <v>32</v>
      </c>
      <c r="F34" s="18" t="s">
        <v>32</v>
      </c>
      <c r="G34" s="18" t="s">
        <v>32</v>
      </c>
      <c r="H34" s="18" t="s">
        <v>32</v>
      </c>
      <c r="I34" s="18" t="s">
        <v>32</v>
      </c>
      <c r="J34" s="18" t="s">
        <v>32</v>
      </c>
      <c r="K34" s="18" t="s">
        <v>32</v>
      </c>
      <c r="L34" s="18" t="s">
        <v>32</v>
      </c>
      <c r="M34" s="18" t="s">
        <v>32</v>
      </c>
      <c r="N34" s="18" t="s">
        <v>32</v>
      </c>
      <c r="O34" s="18" t="s">
        <v>32</v>
      </c>
      <c r="P34" s="18" t="s">
        <v>32</v>
      </c>
      <c r="Q34" s="18" t="s">
        <v>32</v>
      </c>
      <c r="R34" s="18" t="s">
        <v>32</v>
      </c>
      <c r="S34" s="18" t="s">
        <v>32</v>
      </c>
      <c r="T34" s="18" t="s">
        <v>32</v>
      </c>
      <c r="U34" s="18" t="s">
        <v>32</v>
      </c>
      <c r="V34" s="18" t="s">
        <v>32</v>
      </c>
      <c r="W34" s="18" t="s">
        <v>32</v>
      </c>
      <c r="X34" s="18" t="s">
        <v>32</v>
      </c>
      <c r="Y34" s="18" t="s">
        <v>32</v>
      </c>
      <c r="Z34" s="18" t="s">
        <v>32</v>
      </c>
      <c r="AA34" s="18" t="s">
        <v>32</v>
      </c>
      <c r="AB34" s="18" t="s">
        <v>32</v>
      </c>
      <c r="AC34" s="18" t="s">
        <v>32</v>
      </c>
      <c r="AD34" s="18" t="s">
        <v>32</v>
      </c>
      <c r="AE34" s="18" t="s">
        <v>32</v>
      </c>
      <c r="AF34" s="18" t="s">
        <v>32</v>
      </c>
      <c r="AG34" s="18" t="s">
        <v>32</v>
      </c>
      <c r="AH34" s="18" t="s">
        <v>32</v>
      </c>
      <c r="AI34" s="18" t="s">
        <v>32</v>
      </c>
      <c r="AJ34" s="18" t="s">
        <v>32</v>
      </c>
      <c r="AK34" s="18" t="s">
        <v>32</v>
      </c>
      <c r="AL34" s="18" t="s">
        <v>32</v>
      </c>
      <c r="AM34" s="18" t="s">
        <v>32</v>
      </c>
      <c r="AN34" s="18" t="s">
        <v>32</v>
      </c>
      <c r="AO34" s="18" t="s">
        <v>32</v>
      </c>
      <c r="AP34" s="18" t="s">
        <v>32</v>
      </c>
      <c r="AQ34" s="18" t="s">
        <v>32</v>
      </c>
      <c r="AR34" s="18" t="s">
        <v>32</v>
      </c>
      <c r="AS34" s="18" t="s">
        <v>33</v>
      </c>
      <c r="AT34" s="18" t="s">
        <v>32</v>
      </c>
      <c r="AU34" s="18" t="s">
        <v>32</v>
      </c>
      <c r="AV34" s="18" t="s">
        <v>32</v>
      </c>
      <c r="AW34" s="18" t="s">
        <v>32</v>
      </c>
      <c r="AX34" s="18" t="s">
        <v>32</v>
      </c>
      <c r="AY34" s="18" t="s">
        <v>32</v>
      </c>
      <c r="AZ34" s="18" t="s">
        <v>32</v>
      </c>
      <c r="BA34" s="18" t="s">
        <v>32</v>
      </c>
      <c r="BB34" s="18" t="s">
        <v>32</v>
      </c>
      <c r="BC34" s="18" t="s">
        <v>32</v>
      </c>
      <c r="BD34" s="18" t="s">
        <v>32</v>
      </c>
      <c r="BE34" s="18" t="s">
        <v>32</v>
      </c>
      <c r="BF34" s="18" t="s">
        <v>32</v>
      </c>
      <c r="BG34" s="18" t="s">
        <v>32</v>
      </c>
      <c r="BH34" s="18" t="s">
        <v>32</v>
      </c>
      <c r="BI34" s="18" t="s">
        <v>32</v>
      </c>
      <c r="BJ34" s="18" t="s">
        <v>32</v>
      </c>
      <c r="BK34" s="18" t="s">
        <v>32</v>
      </c>
      <c r="BL34" s="18" t="s">
        <v>32</v>
      </c>
      <c r="BM34" s="18" t="s">
        <v>32</v>
      </c>
    </row>
  </sheetData>
  <conditionalFormatting sqref="E25:BM34">
    <cfRule type="expression" dxfId="2" priority="1">
      <formula>E25&lt;100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Q30"/>
  <sheetViews>
    <sheetView showGridLines="0" tabSelected="1" topLeftCell="B1" workbookViewId="0">
      <selection activeCell="E26" sqref="E26"/>
    </sheetView>
  </sheetViews>
  <sheetFormatPr defaultColWidth="9.33203125" defaultRowHeight="10.15" x14ac:dyDescent="0.3"/>
  <cols>
    <col min="1" max="2" width="8.33203125" customWidth="1"/>
    <col min="3" max="3" width="38.6640625" customWidth="1"/>
    <col min="4" max="4" width="22" customWidth="1"/>
    <col min="5" max="6" width="8.6640625" customWidth="1"/>
    <col min="7" max="7" width="10.4140625" bestFit="1" customWidth="1"/>
    <col min="9" max="9" width="30.08203125" bestFit="1" customWidth="1"/>
  </cols>
  <sheetData>
    <row r="3" spans="3:17" ht="13.9" thickBot="1" x14ac:dyDescent="0.4">
      <c r="C3" s="1" t="s">
        <v>25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spans="3:17" x14ac:dyDescent="0.3">
      <c r="C5" s="11" t="s">
        <v>1</v>
      </c>
    </row>
    <row r="6" spans="3:17" x14ac:dyDescent="0.3">
      <c r="C6" s="11"/>
    </row>
    <row r="7" spans="3:17" x14ac:dyDescent="0.3">
      <c r="C7" s="11" t="s">
        <v>2</v>
      </c>
    </row>
    <row r="8" spans="3:17" x14ac:dyDescent="0.3">
      <c r="C8" s="11" t="s">
        <v>3</v>
      </c>
      <c r="D8" s="6"/>
    </row>
    <row r="9" spans="3:17" x14ac:dyDescent="0.3">
      <c r="C9" s="11" t="s">
        <v>4</v>
      </c>
    </row>
    <row r="11" spans="3:17" x14ac:dyDescent="0.3">
      <c r="C11" s="3" t="s">
        <v>5</v>
      </c>
    </row>
    <row r="12" spans="3:17" ht="13.15" x14ac:dyDescent="0.4">
      <c r="C12" s="4"/>
    </row>
    <row r="13" spans="3:17" x14ac:dyDescent="0.3">
      <c r="C13" s="7" t="s">
        <v>26</v>
      </c>
    </row>
    <row r="14" spans="3:17" x14ac:dyDescent="0.3">
      <c r="C14" s="5"/>
    </row>
    <row r="15" spans="3:17" x14ac:dyDescent="0.3">
      <c r="C15" s="3" t="s">
        <v>7</v>
      </c>
    </row>
    <row r="16" spans="3:17" x14ac:dyDescent="0.3">
      <c r="C16" t="s">
        <v>8</v>
      </c>
    </row>
    <row r="18" spans="2:7" x14ac:dyDescent="0.3">
      <c r="C18" s="12"/>
    </row>
    <row r="19" spans="2:7" x14ac:dyDescent="0.3">
      <c r="C19" s="2" t="s">
        <v>9</v>
      </c>
      <c r="D19" s="10" t="s">
        <v>35</v>
      </c>
    </row>
    <row r="20" spans="2:7" x14ac:dyDescent="0.3">
      <c r="C20" s="2" t="s">
        <v>10</v>
      </c>
      <c r="D20" s="17">
        <v>45811</v>
      </c>
    </row>
    <row r="22" spans="2:7" ht="22.05" customHeight="1" x14ac:dyDescent="0.3">
      <c r="B22" s="13"/>
      <c r="C22" s="8" t="s">
        <v>27</v>
      </c>
      <c r="D22" s="8">
        <v>2025</v>
      </c>
      <c r="E22" s="8">
        <v>2030</v>
      </c>
      <c r="F22" s="8">
        <v>2035</v>
      </c>
      <c r="G22" s="8">
        <v>2050</v>
      </c>
    </row>
    <row r="23" spans="2:7" x14ac:dyDescent="0.3">
      <c r="B23" s="12"/>
      <c r="C23" s="19" t="s">
        <v>34</v>
      </c>
      <c r="D23" s="15">
        <v>294.407077227402</v>
      </c>
      <c r="E23" s="15">
        <v>237.87536184067301</v>
      </c>
      <c r="F23" s="15">
        <v>137.76274171296501</v>
      </c>
      <c r="G23" s="15">
        <v>-152.66493147987401</v>
      </c>
    </row>
    <row r="24" spans="2:7" x14ac:dyDescent="0.3">
      <c r="B24" s="12"/>
      <c r="C24" s="9" t="s">
        <v>28</v>
      </c>
      <c r="D24" s="15">
        <v>359.92249250551498</v>
      </c>
      <c r="E24" s="15">
        <v>299.09206873673901</v>
      </c>
      <c r="F24" s="15">
        <v>192.17884120026</v>
      </c>
      <c r="G24" s="15">
        <v>-61.545444784805397</v>
      </c>
    </row>
    <row r="25" spans="2:7" x14ac:dyDescent="0.3">
      <c r="B25" s="12"/>
      <c r="C25" s="9" t="s">
        <v>29</v>
      </c>
      <c r="D25" s="15">
        <v>509.92871788470597</v>
      </c>
      <c r="E25" s="15">
        <v>439.25583161058802</v>
      </c>
      <c r="F25" s="15">
        <v>316.77171219553401</v>
      </c>
      <c r="G25" s="15">
        <v>147.08469515392699</v>
      </c>
    </row>
    <row r="26" spans="2:7" x14ac:dyDescent="0.3">
      <c r="B26" s="12"/>
      <c r="C26" s="9" t="s">
        <v>30</v>
      </c>
      <c r="D26" s="15">
        <v>671.51193345726404</v>
      </c>
      <c r="E26" s="15">
        <v>590.23697559081597</v>
      </c>
      <c r="F26" s="15">
        <v>450.98025375400999</v>
      </c>
      <c r="G26" s="15">
        <v>371.816227404919</v>
      </c>
    </row>
    <row r="30" spans="2:7" x14ac:dyDescent="0.3">
      <c r="C30" s="7"/>
    </row>
  </sheetData>
  <conditionalFormatting sqref="E23:G26">
    <cfRule type="expression" dxfId="1" priority="2">
      <formula>E23&lt;100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B1E7-7367-4C52-B62B-F935ADA4B9B3}">
  <sheetPr codeName="Sheet3"/>
  <dimension ref="C3:AI27"/>
  <sheetViews>
    <sheetView showGridLines="0" topLeftCell="B1" workbookViewId="0">
      <selection activeCell="C30" sqref="C30"/>
    </sheetView>
  </sheetViews>
  <sheetFormatPr defaultColWidth="9.33203125" defaultRowHeight="11.25" customHeight="1" x14ac:dyDescent="0.3"/>
  <cols>
    <col min="1" max="2" width="8.33203125" customWidth="1"/>
    <col min="3" max="3" width="38.6640625" customWidth="1"/>
    <col min="4" max="4" width="22" customWidth="1"/>
    <col min="5" max="6" width="8.6640625" customWidth="1"/>
    <col min="7" max="7" width="10.4140625" bestFit="1" customWidth="1"/>
    <col min="9" max="9" width="9.33203125" customWidth="1"/>
  </cols>
  <sheetData>
    <row r="3" spans="3:17" ht="13.5" x14ac:dyDescent="0.35">
      <c r="C3" s="1" t="s">
        <v>31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spans="3:17" ht="10.15" x14ac:dyDescent="0.3">
      <c r="C5" s="11" t="s">
        <v>1</v>
      </c>
    </row>
    <row r="6" spans="3:17" ht="10.15" x14ac:dyDescent="0.3">
      <c r="C6" s="11"/>
    </row>
    <row r="7" spans="3:17" ht="10.15" x14ac:dyDescent="0.3">
      <c r="C7" s="11" t="s">
        <v>2</v>
      </c>
    </row>
    <row r="8" spans="3:17" ht="10.15" x14ac:dyDescent="0.3">
      <c r="C8" s="11" t="s">
        <v>3</v>
      </c>
      <c r="D8" s="6"/>
    </row>
    <row r="9" spans="3:17" ht="10.15" x14ac:dyDescent="0.3">
      <c r="C9" s="11" t="s">
        <v>4</v>
      </c>
    </row>
    <row r="11" spans="3:17" ht="10.15" x14ac:dyDescent="0.3">
      <c r="C11" s="3" t="s">
        <v>5</v>
      </c>
    </row>
    <row r="12" spans="3:17" ht="13.15" x14ac:dyDescent="0.4">
      <c r="C12" s="4"/>
    </row>
    <row r="13" spans="3:17" ht="10.15" x14ac:dyDescent="0.3">
      <c r="C13" s="7" t="s">
        <v>26</v>
      </c>
    </row>
    <row r="14" spans="3:17" ht="10.15" x14ac:dyDescent="0.3">
      <c r="C14" s="5"/>
    </row>
    <row r="15" spans="3:17" ht="10.15" x14ac:dyDescent="0.3">
      <c r="C15" s="3" t="s">
        <v>7</v>
      </c>
    </row>
    <row r="16" spans="3:17" ht="10.15" x14ac:dyDescent="0.3">
      <c r="C16" t="s">
        <v>8</v>
      </c>
    </row>
    <row r="18" spans="3:35" ht="10.15" x14ac:dyDescent="0.3">
      <c r="C18" s="12"/>
    </row>
    <row r="19" spans="3:35" ht="10.15" x14ac:dyDescent="0.3">
      <c r="C19" s="2" t="s">
        <v>9</v>
      </c>
      <c r="D19" s="10" t="s">
        <v>35</v>
      </c>
    </row>
    <row r="20" spans="3:35" ht="10.15" x14ac:dyDescent="0.3">
      <c r="C20" s="2" t="s">
        <v>10</v>
      </c>
      <c r="D20" s="17">
        <v>45811</v>
      </c>
    </row>
    <row r="22" spans="3:35" ht="22.05" customHeight="1" x14ac:dyDescent="0.3">
      <c r="C22" s="8" t="s">
        <v>27</v>
      </c>
      <c r="D22" s="8">
        <v>2019</v>
      </c>
      <c r="E22" s="8">
        <v>2020</v>
      </c>
      <c r="F22" s="8">
        <v>2021</v>
      </c>
      <c r="G22" s="8">
        <v>2021</v>
      </c>
      <c r="H22" s="8">
        <v>2023</v>
      </c>
      <c r="I22" s="8">
        <v>2024</v>
      </c>
      <c r="J22" s="8">
        <v>2025</v>
      </c>
      <c r="K22" s="8">
        <v>2026</v>
      </c>
      <c r="L22" s="8">
        <v>2027</v>
      </c>
      <c r="M22" s="8">
        <v>2028</v>
      </c>
      <c r="N22" s="8">
        <v>2029</v>
      </c>
      <c r="O22" s="8">
        <v>2030</v>
      </c>
      <c r="P22" s="8">
        <v>2031</v>
      </c>
      <c r="Q22" s="8">
        <v>2032</v>
      </c>
      <c r="R22" s="8">
        <v>2033</v>
      </c>
      <c r="S22" s="8">
        <v>2034</v>
      </c>
      <c r="T22" s="8">
        <v>2035</v>
      </c>
      <c r="U22" s="8">
        <v>2036</v>
      </c>
      <c r="V22" s="8">
        <v>2037</v>
      </c>
      <c r="W22" s="8">
        <v>2038</v>
      </c>
      <c r="X22" s="8">
        <v>2039</v>
      </c>
      <c r="Y22" s="8">
        <v>2040</v>
      </c>
      <c r="Z22" s="8">
        <v>2041</v>
      </c>
      <c r="AA22" s="8">
        <v>2042</v>
      </c>
      <c r="AB22" s="8">
        <v>2043</v>
      </c>
      <c r="AC22" s="8">
        <v>2044</v>
      </c>
      <c r="AD22" s="8">
        <v>2045</v>
      </c>
      <c r="AE22" s="8">
        <v>2046</v>
      </c>
      <c r="AF22" s="8">
        <v>2047</v>
      </c>
      <c r="AG22" s="8">
        <v>2048</v>
      </c>
      <c r="AH22" s="8">
        <v>2049</v>
      </c>
      <c r="AI22" s="8">
        <v>2050</v>
      </c>
    </row>
    <row r="23" spans="3:35" ht="10.15" x14ac:dyDescent="0.3">
      <c r="C23" s="19" t="s">
        <v>34</v>
      </c>
      <c r="D23" s="16">
        <v>560.79999999999995</v>
      </c>
      <c r="E23" s="16">
        <v>558.2803896985032</v>
      </c>
      <c r="F23" s="16">
        <v>532.45212955491684</v>
      </c>
      <c r="G23" s="16">
        <v>532.45212955491684</v>
      </c>
      <c r="H23" s="16">
        <v>480.79560926774423</v>
      </c>
      <c r="I23" s="16">
        <v>454.96734912415792</v>
      </c>
      <c r="J23" s="16">
        <v>429.13908898057161</v>
      </c>
      <c r="K23" s="16">
        <v>406.28014785852594</v>
      </c>
      <c r="L23" s="16">
        <v>383.42120673648026</v>
      </c>
      <c r="M23" s="16">
        <v>360.56226561443458</v>
      </c>
      <c r="N23" s="16">
        <v>337.7033244923889</v>
      </c>
      <c r="O23" s="16">
        <v>314.84438337034322</v>
      </c>
      <c r="P23" s="16">
        <v>298.0345251346705</v>
      </c>
      <c r="Q23" s="16">
        <v>281.22466689899778</v>
      </c>
      <c r="R23" s="16">
        <v>264.41480866332506</v>
      </c>
      <c r="S23" s="16">
        <v>247.60495042765234</v>
      </c>
      <c r="T23" s="16">
        <v>230.79509219197959</v>
      </c>
      <c r="U23" s="16">
        <v>215.09368648162067</v>
      </c>
      <c r="V23" s="16">
        <v>199.39228077126174</v>
      </c>
      <c r="W23" s="16">
        <v>183.69087506090281</v>
      </c>
      <c r="X23" s="16">
        <v>167.98946935054389</v>
      </c>
      <c r="Y23" s="16">
        <v>152.28806364018499</v>
      </c>
      <c r="Z23" s="16">
        <v>141.76158431808645</v>
      </c>
      <c r="AA23" s="16">
        <v>131.23510499598791</v>
      </c>
      <c r="AB23" s="16">
        <v>120.70862567388936</v>
      </c>
      <c r="AC23" s="16">
        <v>110.18214635179081</v>
      </c>
      <c r="AD23" s="16">
        <v>99.655667029692253</v>
      </c>
      <c r="AE23" s="16">
        <v>94.053601499198066</v>
      </c>
      <c r="AF23" s="16">
        <v>88.45153596870388</v>
      </c>
      <c r="AG23" s="16">
        <v>82.849470438209693</v>
      </c>
      <c r="AH23" s="16">
        <v>77.247404907715506</v>
      </c>
      <c r="AI23" s="16">
        <v>71.645339377221347</v>
      </c>
    </row>
    <row r="24" spans="3:35" ht="10.15" x14ac:dyDescent="0.3">
      <c r="C24" s="9" t="s">
        <v>28</v>
      </c>
      <c r="D24" s="16">
        <v>560.79999999999995</v>
      </c>
      <c r="E24" s="16">
        <v>563.19117066879267</v>
      </c>
      <c r="F24" s="16">
        <v>545.98303829680617</v>
      </c>
      <c r="G24" s="16">
        <v>545.98303829680617</v>
      </c>
      <c r="H24" s="16">
        <v>511.56677355283324</v>
      </c>
      <c r="I24" s="16">
        <v>494.3586411808468</v>
      </c>
      <c r="J24" s="16">
        <v>477.15050880886042</v>
      </c>
      <c r="K24" s="16">
        <v>464.59705161520139</v>
      </c>
      <c r="L24" s="16">
        <v>452.04359442154237</v>
      </c>
      <c r="M24" s="16">
        <v>439.49013722788334</v>
      </c>
      <c r="N24" s="16">
        <v>426.93668003422431</v>
      </c>
      <c r="O24" s="16">
        <v>414.38322284056528</v>
      </c>
      <c r="P24" s="16">
        <v>401.16727889995116</v>
      </c>
      <c r="Q24" s="16">
        <v>387.95133495933703</v>
      </c>
      <c r="R24" s="16">
        <v>374.73539101872291</v>
      </c>
      <c r="S24" s="16">
        <v>361.51944707810878</v>
      </c>
      <c r="T24" s="16">
        <v>348.30350313749477</v>
      </c>
      <c r="U24" s="16">
        <v>333.83920577094977</v>
      </c>
      <c r="V24" s="16">
        <v>319.37490840440478</v>
      </c>
      <c r="W24" s="16">
        <v>304.91061103785978</v>
      </c>
      <c r="X24" s="16">
        <v>290.44631367131478</v>
      </c>
      <c r="Y24" s="16">
        <v>275.98201630476967</v>
      </c>
      <c r="Z24" s="16">
        <v>264.37222070351908</v>
      </c>
      <c r="AA24" s="16">
        <v>252.76242510226845</v>
      </c>
      <c r="AB24" s="16">
        <v>241.15262950101783</v>
      </c>
      <c r="AC24" s="16">
        <v>229.5428338997672</v>
      </c>
      <c r="AD24" s="16">
        <v>217.93303829851661</v>
      </c>
      <c r="AE24" s="16">
        <v>206.66684751506227</v>
      </c>
      <c r="AF24" s="16">
        <v>195.40065673160794</v>
      </c>
      <c r="AG24" s="16">
        <v>184.1344659481536</v>
      </c>
      <c r="AH24" s="16">
        <v>172.86827516469927</v>
      </c>
      <c r="AI24" s="16">
        <v>161.60208438124491</v>
      </c>
    </row>
    <row r="25" spans="3:35" ht="10.15" x14ac:dyDescent="0.3">
      <c r="C25" s="9" t="s">
        <v>29</v>
      </c>
      <c r="D25" s="16">
        <v>560.80000000000007</v>
      </c>
      <c r="E25" s="16">
        <v>566.0891672562575</v>
      </c>
      <c r="F25" s="16">
        <v>561.75885394278964</v>
      </c>
      <c r="G25" s="16">
        <v>561.75885394278964</v>
      </c>
      <c r="H25" s="16">
        <v>553.09822731585393</v>
      </c>
      <c r="I25" s="16">
        <v>548.76791400238608</v>
      </c>
      <c r="J25" s="16">
        <v>544.43760068891811</v>
      </c>
      <c r="K25" s="16">
        <v>539.26161819526203</v>
      </c>
      <c r="L25" s="16">
        <v>534.08563570160595</v>
      </c>
      <c r="M25" s="16">
        <v>528.90965320794987</v>
      </c>
      <c r="N25" s="16">
        <v>523.73367071429379</v>
      </c>
      <c r="O25" s="16">
        <v>518.55768822063794</v>
      </c>
      <c r="P25" s="16">
        <v>510.7449285985947</v>
      </c>
      <c r="Q25" s="16">
        <v>502.93216897655145</v>
      </c>
      <c r="R25" s="16">
        <v>495.11940935450821</v>
      </c>
      <c r="S25" s="16">
        <v>487.30664973246496</v>
      </c>
      <c r="T25" s="16">
        <v>479.49389011042177</v>
      </c>
      <c r="U25" s="16">
        <v>474.51773774421099</v>
      </c>
      <c r="V25" s="16">
        <v>469.54158537800021</v>
      </c>
      <c r="W25" s="16">
        <v>464.56543301178942</v>
      </c>
      <c r="X25" s="16">
        <v>459.58928064557864</v>
      </c>
      <c r="Y25" s="16">
        <v>454.6131282793678</v>
      </c>
      <c r="Z25" s="16">
        <v>449.83795849409114</v>
      </c>
      <c r="AA25" s="16">
        <v>445.06278870881448</v>
      </c>
      <c r="AB25" s="16">
        <v>440.28761892353782</v>
      </c>
      <c r="AC25" s="16">
        <v>435.51244913826116</v>
      </c>
      <c r="AD25" s="16">
        <v>430.73727935298461</v>
      </c>
      <c r="AE25" s="16">
        <v>423.18360578717278</v>
      </c>
      <c r="AF25" s="16">
        <v>415.62993222136095</v>
      </c>
      <c r="AG25" s="16">
        <v>408.07625865554911</v>
      </c>
      <c r="AH25" s="16">
        <v>400.52258508973728</v>
      </c>
      <c r="AI25" s="16">
        <v>392.9689115239255</v>
      </c>
    </row>
    <row r="26" spans="3:35" ht="10.15" x14ac:dyDescent="0.3">
      <c r="C26" s="9" t="s">
        <v>30</v>
      </c>
      <c r="D26" s="16">
        <v>560.80000000000007</v>
      </c>
      <c r="E26" s="16">
        <v>564.73333266994985</v>
      </c>
      <c r="F26" s="16">
        <v>563.99155522075796</v>
      </c>
      <c r="G26" s="16">
        <v>563.99155522075796</v>
      </c>
      <c r="H26" s="16">
        <v>562.50800032237419</v>
      </c>
      <c r="I26" s="16">
        <v>561.7662228731823</v>
      </c>
      <c r="J26" s="16">
        <v>561.02444542399053</v>
      </c>
      <c r="K26" s="16">
        <v>559.31176979574889</v>
      </c>
      <c r="L26" s="16">
        <v>557.59909416750725</v>
      </c>
      <c r="M26" s="16">
        <v>555.88641853926561</v>
      </c>
      <c r="N26" s="16">
        <v>554.17374291102396</v>
      </c>
      <c r="O26" s="16">
        <v>552.46106728278255</v>
      </c>
      <c r="P26" s="16">
        <v>551.75929026975575</v>
      </c>
      <c r="Q26" s="16">
        <v>551.05751325672895</v>
      </c>
      <c r="R26" s="16">
        <v>550.35573624370215</v>
      </c>
      <c r="S26" s="16">
        <v>549.65395923067535</v>
      </c>
      <c r="T26" s="16">
        <v>548.95218221764867</v>
      </c>
      <c r="U26" s="16">
        <v>549.01532523014373</v>
      </c>
      <c r="V26" s="16">
        <v>549.07846824263879</v>
      </c>
      <c r="W26" s="16">
        <v>549.14161125513385</v>
      </c>
      <c r="X26" s="16">
        <v>549.20475426762891</v>
      </c>
      <c r="Y26" s="16">
        <v>549.26789728012386</v>
      </c>
      <c r="Z26" s="16">
        <v>549.88796868617294</v>
      </c>
      <c r="AA26" s="16">
        <v>550.50804009222202</v>
      </c>
      <c r="AB26" s="16">
        <v>551.1281114982711</v>
      </c>
      <c r="AC26" s="16">
        <v>551.74818290432017</v>
      </c>
      <c r="AD26" s="16">
        <v>552.36825431036948</v>
      </c>
      <c r="AE26" s="16">
        <v>550.46864799085586</v>
      </c>
      <c r="AF26" s="16">
        <v>548.56904167134223</v>
      </c>
      <c r="AG26" s="16">
        <v>546.66943535182861</v>
      </c>
      <c r="AH26" s="16">
        <v>544.76982903231499</v>
      </c>
      <c r="AI26" s="16">
        <v>542.87022271280114</v>
      </c>
    </row>
    <row r="27" spans="3:35" ht="10.15" x14ac:dyDescent="0.3"/>
  </sheetData>
  <conditionalFormatting sqref="D23:AI26">
    <cfRule type="expression" dxfId="0" priority="3">
      <formula>D23&lt;100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2C8D69E60E74DAA4325DF3101CF6B" ma:contentTypeVersion="6" ma:contentTypeDescription="Create a new document." ma:contentTypeScope="" ma:versionID="e3b0af90ea3a9727e1bc87037e7e03aa">
  <xsd:schema xmlns:xsd="http://www.w3.org/2001/XMLSchema" xmlns:xs="http://www.w3.org/2001/XMLSchema" xmlns:p="http://schemas.microsoft.com/office/2006/metadata/properties" xmlns:ns2="aa76bd91-2c4e-4caf-a959-876821feecfe" xmlns:ns3="569243f0-178c-43e9-bf3b-4e4e4af4c565" targetNamespace="http://schemas.microsoft.com/office/2006/metadata/properties" ma:root="true" ma:fieldsID="33fcccb08c66e5e89749eaeb1c6b2048" ns2:_="" ns3:_="">
    <xsd:import namespace="aa76bd91-2c4e-4caf-a959-876821feecfe"/>
    <xsd:import namespace="569243f0-178c-43e9-bf3b-4e4e4af4c5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bd91-2c4e-4caf-a959-876821feec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243f0-178c-43e9-bf3b-4e4e4af4c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F35D08-1D85-4EEE-9D33-18B52CF301B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19F5139-A135-4696-93A0-7DA6288FE2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EC1D75E-F9AE-4CB8-9517-44E44ECA46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6bd91-2c4e-4caf-a959-876821feecfe"/>
    <ds:schemaRef ds:uri="569243f0-178c-43e9-bf3b-4e4e4af4c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F080F85-595B-4A8B-ADF5-CB4664DF3B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20</vt:i4>
      </vt:variant>
    </vt:vector>
  </HeadingPairs>
  <TitlesOfParts>
    <vt:vector size="23" baseType="lpstr">
      <vt:lpstr>Assessment</vt:lpstr>
      <vt:lpstr>EffortSharing</vt:lpstr>
      <vt:lpstr>ModelledPathways</vt:lpstr>
      <vt:lpstr>Assessment_Table</vt:lpstr>
      <vt:lpstr>Assessment!AssessmentData</vt:lpstr>
      <vt:lpstr>Assessment!Country</vt:lpstr>
      <vt:lpstr>EffortSharing!Country</vt:lpstr>
      <vt:lpstr>ModelledPathways!Country</vt:lpstr>
      <vt:lpstr>Curpol_max</vt:lpstr>
      <vt:lpstr>Curpol_min</vt:lpstr>
      <vt:lpstr>Effort_Table</vt:lpstr>
      <vt:lpstr>EffortSharing!EffortSharingData</vt:lpstr>
      <vt:lpstr>ModelledPathways!EffortSharingData</vt:lpstr>
      <vt:lpstr>Hist_excl_LULUCF</vt:lpstr>
      <vt:lpstr>Hist_LULUCF</vt:lpstr>
      <vt:lpstr>Assessment!LastUpdate</vt:lpstr>
      <vt:lpstr>EffortSharing!LastUpdate</vt:lpstr>
      <vt:lpstr>ModelledPathways!LastUpdate</vt:lpstr>
      <vt:lpstr>NDC_1</vt:lpstr>
      <vt:lpstr>Assessment!paste_location</vt:lpstr>
      <vt:lpstr>EffortSharing!paste_location</vt:lpstr>
      <vt:lpstr>ModelledPathways!paste_location</vt:lpstr>
      <vt:lpstr>Pathways_Table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Luna</dc:creator>
  <cp:keywords/>
  <dc:description/>
  <cp:lastModifiedBy>Samantha Riordan</cp:lastModifiedBy>
  <cp:revision/>
  <dcterms:created xsi:type="dcterms:W3CDTF">2011-01-19T10:59:21Z</dcterms:created>
  <dcterms:modified xsi:type="dcterms:W3CDTF">2025-11-23T18:49:38Z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0x0101004E92C8D69E60E74DAA4325DF3101CF6B</vt:lpwstr>
  </property>
</Properties>
</file>